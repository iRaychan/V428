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60807 - KeySuite\"/>
    </mc:Choice>
  </mc:AlternateContent>
  <xr:revisionPtr revIDLastSave="0" documentId="13_ncr:1_{CB8B5323-29B7-4F72-B868-2907BC7E06BF}" xr6:coauthVersionLast="47" xr6:coauthVersionMax="47" xr10:uidLastSave="{00000000-0000-0000-0000-000000000000}"/>
  <bookViews>
    <workbookView xWindow="-108" yWindow="-108" windowWidth="23256" windowHeight="12456" tabRatio="838" firstSheet="5" activeTab="7" xr2:uid="{9756B631-659D-4939-9E63-BE7A618BB991}"/>
  </bookViews>
  <sheets>
    <sheet name="Motor Pole" sheetId="2" r:id="rId1"/>
    <sheet name="Motor Eff" sheetId="1" r:id="rId2"/>
    <sheet name="HP" sheetId="3" r:id="rId3"/>
    <sheet name="Voltage" sheetId="7" r:id="rId4"/>
    <sheet name="Phase" sheetId="6" r:id="rId5"/>
    <sheet name="Hz" sheetId="4" r:id="rId6"/>
    <sheet name="2Pole IE1" sheetId="5" r:id="rId7"/>
    <sheet name="4Pole IE1" sheetId="10" r:id="rId8"/>
    <sheet name="2Pole IE2" sheetId="8" r:id="rId9"/>
    <sheet name="4Pole IE2" sheetId="14" r:id="rId10"/>
    <sheet name="2Pole IE3" sheetId="9" r:id="rId11"/>
    <sheet name="4Pole IE3" sheetId="11" r:id="rId12"/>
    <sheet name="2Pole IE4" sheetId="12" r:id="rId13"/>
    <sheet name="4Pole IE4" sheetId="13" r:id="rId14"/>
    <sheet name="2Pole IE5" sheetId="15" r:id="rId15"/>
    <sheet name="4Pole IE5" sheetId="16" r:id="rId16"/>
    <sheet name="Dimension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1" i="16" l="1"/>
  <c r="F3" i="16"/>
  <c r="Q33" i="16"/>
  <c r="Q32" i="16"/>
  <c r="Q31" i="16"/>
  <c r="Q30" i="16"/>
  <c r="Q29" i="16"/>
  <c r="Q28" i="16"/>
  <c r="F29" i="16"/>
  <c r="Q27" i="16"/>
  <c r="F28" i="16"/>
  <c r="Q26" i="16"/>
  <c r="F27" i="16"/>
  <c r="Q25" i="16"/>
  <c r="F26" i="16"/>
  <c r="Q24" i="16"/>
  <c r="F25" i="16"/>
  <c r="Q23" i="16"/>
  <c r="F24" i="16"/>
  <c r="Q22" i="16"/>
  <c r="F23" i="16"/>
  <c r="F22" i="16"/>
  <c r="Q20" i="16"/>
  <c r="F21" i="16"/>
  <c r="Q19" i="16"/>
  <c r="F20" i="16"/>
  <c r="Q18" i="16"/>
  <c r="F19" i="16"/>
  <c r="Q17" i="16"/>
  <c r="F18" i="16"/>
  <c r="Q16" i="16"/>
  <c r="F17" i="16"/>
  <c r="Q15" i="16"/>
  <c r="F16" i="16"/>
  <c r="Q14" i="16"/>
  <c r="F15" i="16"/>
  <c r="Q13" i="16"/>
  <c r="F14" i="16"/>
  <c r="Q12" i="16"/>
  <c r="F13" i="16"/>
  <c r="Q11" i="16"/>
  <c r="F12" i="16"/>
  <c r="Q10" i="16"/>
  <c r="F11" i="16"/>
  <c r="Q9" i="16"/>
  <c r="F10" i="16"/>
  <c r="Q8" i="16"/>
  <c r="F9" i="16"/>
  <c r="Q7" i="16"/>
  <c r="F8" i="16"/>
  <c r="Q6" i="16"/>
  <c r="F7" i="16"/>
  <c r="Q5" i="16"/>
  <c r="F6" i="16"/>
  <c r="F5" i="16"/>
  <c r="F4" i="16"/>
  <c r="Q33" i="15"/>
  <c r="Q32" i="15"/>
  <c r="Q31" i="15"/>
  <c r="F28" i="15"/>
  <c r="Q30" i="15"/>
  <c r="F27" i="15"/>
  <c r="Q29" i="15"/>
  <c r="F26" i="15"/>
  <c r="Q28" i="15"/>
  <c r="F25" i="15"/>
  <c r="Q27" i="15"/>
  <c r="F24" i="15"/>
  <c r="Q26" i="15"/>
  <c r="Q25" i="15"/>
  <c r="F23" i="15"/>
  <c r="Q24" i="15"/>
  <c r="F22" i="15"/>
  <c r="Q23" i="15"/>
  <c r="F21" i="15"/>
  <c r="Q22" i="15"/>
  <c r="F20" i="15"/>
  <c r="Q21" i="15"/>
  <c r="F19" i="15"/>
  <c r="Q20" i="15"/>
  <c r="F18" i="15"/>
  <c r="Q19" i="15"/>
  <c r="F17" i="15"/>
  <c r="Q18" i="15"/>
  <c r="F16" i="15"/>
  <c r="Q17" i="15"/>
  <c r="F15" i="15"/>
  <c r="Q16" i="15"/>
  <c r="F14" i="15"/>
  <c r="Q15" i="15"/>
  <c r="F13" i="15"/>
  <c r="Q14" i="15"/>
  <c r="F12" i="15"/>
  <c r="Q13" i="15"/>
  <c r="F11" i="15"/>
  <c r="Q12" i="15"/>
  <c r="F10" i="15"/>
  <c r="Q11" i="15"/>
  <c r="F9" i="15"/>
  <c r="Q10" i="15"/>
  <c r="F8" i="15"/>
  <c r="Q9" i="15"/>
  <c r="F7" i="15"/>
  <c r="Q8" i="15"/>
  <c r="F6" i="15"/>
  <c r="Q7" i="15"/>
  <c r="F5" i="15"/>
  <c r="Q6" i="15"/>
  <c r="F4" i="15"/>
  <c r="Q5" i="15"/>
  <c r="F3" i="15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Q11" i="13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Q3" i="13"/>
  <c r="Q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0" i="13"/>
  <c r="Q9" i="13"/>
  <c r="Q8" i="13"/>
  <c r="Q7" i="13"/>
  <c r="Q6" i="13"/>
  <c r="Q5" i="13"/>
  <c r="Q22" i="12"/>
  <c r="Q23" i="12"/>
  <c r="Q24" i="12"/>
  <c r="Q25" i="12"/>
  <c r="Q26" i="12"/>
  <c r="Q27" i="12"/>
  <c r="Q28" i="12"/>
  <c r="Q29" i="12"/>
  <c r="Q30" i="12"/>
  <c r="Q31" i="12"/>
  <c r="Q32" i="12"/>
  <c r="Q33" i="12"/>
  <c r="Q21" i="12"/>
  <c r="Q13" i="12"/>
  <c r="Q14" i="12"/>
  <c r="Q15" i="12"/>
  <c r="Q16" i="12"/>
  <c r="Q17" i="12"/>
  <c r="Q18" i="12"/>
  <c r="Q19" i="12"/>
  <c r="Q20" i="12"/>
  <c r="Q12" i="12"/>
  <c r="Q11" i="12"/>
  <c r="Q6" i="12"/>
  <c r="Q7" i="12"/>
  <c r="Q8" i="12"/>
  <c r="Q9" i="12"/>
  <c r="Q10" i="12"/>
  <c r="Q5" i="12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3" i="1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3" i="9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3" i="8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</calcChain>
</file>

<file path=xl/sharedStrings.xml><?xml version="1.0" encoding="utf-8"?>
<sst xmlns="http://schemas.openxmlformats.org/spreadsheetml/2006/main" count="1404" uniqueCount="467">
  <si>
    <t>MotorEffCode</t>
  </si>
  <si>
    <t>Motor Eff Class</t>
  </si>
  <si>
    <t>IE2</t>
  </si>
  <si>
    <t>IE3</t>
  </si>
  <si>
    <t>IE4</t>
  </si>
  <si>
    <t>IE5</t>
  </si>
  <si>
    <t>IE</t>
  </si>
  <si>
    <t>MotorPoleCode</t>
  </si>
  <si>
    <t>2Pole</t>
  </si>
  <si>
    <t>4Pole</t>
  </si>
  <si>
    <t>6Pole</t>
  </si>
  <si>
    <t>8Pole</t>
  </si>
  <si>
    <t>2P</t>
  </si>
  <si>
    <t>4P</t>
  </si>
  <si>
    <t>6P</t>
  </si>
  <si>
    <t>8P</t>
  </si>
  <si>
    <t>Model</t>
  </si>
  <si>
    <t>Motor HP Code</t>
  </si>
  <si>
    <t>1HP</t>
  </si>
  <si>
    <t>1.5HP</t>
  </si>
  <si>
    <t>-</t>
  </si>
  <si>
    <t>0.25HP</t>
  </si>
  <si>
    <t>0.34HP</t>
  </si>
  <si>
    <t>0.5HP</t>
  </si>
  <si>
    <t>0.75HP</t>
  </si>
  <si>
    <t>0.9HP</t>
  </si>
  <si>
    <t>1.34HP</t>
  </si>
  <si>
    <t>1.61HP</t>
  </si>
  <si>
    <t>1.75HP</t>
  </si>
  <si>
    <t>2HP</t>
  </si>
  <si>
    <t>2.5HP</t>
  </si>
  <si>
    <t>3HP</t>
  </si>
  <si>
    <t>4HP</t>
  </si>
  <si>
    <t>5HP</t>
  </si>
  <si>
    <t>5.5HP</t>
  </si>
  <si>
    <t>7.5HP</t>
  </si>
  <si>
    <t>10HP</t>
  </si>
  <si>
    <t>15HP</t>
  </si>
  <si>
    <t>20HP</t>
  </si>
  <si>
    <t>25HP</t>
  </si>
  <si>
    <t>30HP</t>
  </si>
  <si>
    <t>40HP</t>
  </si>
  <si>
    <t>50HP</t>
  </si>
  <si>
    <t>60HP</t>
  </si>
  <si>
    <t>75HP</t>
  </si>
  <si>
    <t>100HP</t>
  </si>
  <si>
    <t>125HP</t>
  </si>
  <si>
    <t>150HP</t>
  </si>
  <si>
    <t>175HP</t>
  </si>
  <si>
    <t>215HP</t>
  </si>
  <si>
    <t>270HP</t>
  </si>
  <si>
    <t>335HP</t>
  </si>
  <si>
    <t>420HP</t>
  </si>
  <si>
    <t>kW</t>
  </si>
  <si>
    <t>HP</t>
  </si>
  <si>
    <t>MotorHzCode</t>
  </si>
  <si>
    <t>Frequency</t>
  </si>
  <si>
    <t>50Hz</t>
  </si>
  <si>
    <t>60Hz</t>
  </si>
  <si>
    <t>Motor Pole</t>
  </si>
  <si>
    <t>RPM</t>
  </si>
  <si>
    <t>Eff 100</t>
  </si>
  <si>
    <t>Eff 75</t>
  </si>
  <si>
    <t>PF 100</t>
  </si>
  <si>
    <t>PF 75</t>
  </si>
  <si>
    <t>BM0.25-2</t>
  </si>
  <si>
    <t>BM0.34-2</t>
  </si>
  <si>
    <t>BM0.5-2</t>
  </si>
  <si>
    <t>BM0.75-2</t>
  </si>
  <si>
    <t>BM0.9-2</t>
  </si>
  <si>
    <t>BM1-2</t>
  </si>
  <si>
    <t>BM1.25-2</t>
  </si>
  <si>
    <t>BM1.34-2</t>
  </si>
  <si>
    <t>BM1.5-2</t>
  </si>
  <si>
    <t>BM1.6-2</t>
  </si>
  <si>
    <t>BM1.7-2</t>
  </si>
  <si>
    <t>BM2-2</t>
  </si>
  <si>
    <t>BM2.5-2</t>
  </si>
  <si>
    <t>BM3-2</t>
  </si>
  <si>
    <t>BM4-2</t>
  </si>
  <si>
    <t>BM5-2</t>
  </si>
  <si>
    <t>BM5.5-2</t>
  </si>
  <si>
    <t>BM7.5-2</t>
  </si>
  <si>
    <t>BM10-2</t>
  </si>
  <si>
    <t>BM15-2</t>
  </si>
  <si>
    <t>BM20-2</t>
  </si>
  <si>
    <t>BM25-2</t>
  </si>
  <si>
    <t>BM30-2</t>
  </si>
  <si>
    <t>BM40-2</t>
  </si>
  <si>
    <t>BM50-2</t>
  </si>
  <si>
    <t>BM60-2</t>
  </si>
  <si>
    <t>BM75-2</t>
  </si>
  <si>
    <t>BM100-2</t>
  </si>
  <si>
    <t>BM125-2</t>
  </si>
  <si>
    <t>BM150-2</t>
  </si>
  <si>
    <t>BM175-2</t>
  </si>
  <si>
    <t>BM215-2</t>
  </si>
  <si>
    <t>BM270-2</t>
  </si>
  <si>
    <t>BM335-2</t>
  </si>
  <si>
    <t>BM420-2</t>
  </si>
  <si>
    <t>1Ph</t>
  </si>
  <si>
    <t>3Ph</t>
  </si>
  <si>
    <t>3 Phase</t>
  </si>
  <si>
    <t>1 Phase</t>
  </si>
  <si>
    <t>MotorPhaseCode</t>
  </si>
  <si>
    <t>Phase</t>
  </si>
  <si>
    <t>MotorVoltageCode</t>
  </si>
  <si>
    <t>Voltage</t>
  </si>
  <si>
    <t>415V</t>
  </si>
  <si>
    <t>240V</t>
  </si>
  <si>
    <t>Rated FL Amp (415V)(3Ph)</t>
  </si>
  <si>
    <t>Rated FL Amp (240V)(1Ph)</t>
  </si>
  <si>
    <t>2BM1-2</t>
  </si>
  <si>
    <t>2BM1.5-2</t>
  </si>
  <si>
    <t>2BM2-2</t>
  </si>
  <si>
    <t>2BM3-2</t>
  </si>
  <si>
    <t>2BM4-2</t>
  </si>
  <si>
    <t>2BM5.5-2</t>
  </si>
  <si>
    <t>2BM7.5-2</t>
  </si>
  <si>
    <t>2BM10-2</t>
  </si>
  <si>
    <t>2BM15-2</t>
  </si>
  <si>
    <t>2BM20-2</t>
  </si>
  <si>
    <t>2BM25-2</t>
  </si>
  <si>
    <t>2BM30-2</t>
  </si>
  <si>
    <t>2BM40-2</t>
  </si>
  <si>
    <t>2BM50-2</t>
  </si>
  <si>
    <t>2BM60-2</t>
  </si>
  <si>
    <t>2BM75-2</t>
  </si>
  <si>
    <t>2BM100-2</t>
  </si>
  <si>
    <t>2BM125-2</t>
  </si>
  <si>
    <t>2BM150-2</t>
  </si>
  <si>
    <t>2BM175-2</t>
  </si>
  <si>
    <t>2BM215-2</t>
  </si>
  <si>
    <t>2BM270-2</t>
  </si>
  <si>
    <t>2BM335-2</t>
  </si>
  <si>
    <t>2BM420-2</t>
  </si>
  <si>
    <t>3BM0.5-2</t>
  </si>
  <si>
    <t>3BM0.75-2</t>
  </si>
  <si>
    <t>3BM1-2</t>
  </si>
  <si>
    <t>3BM1.5-2</t>
  </si>
  <si>
    <t>3BM2-2</t>
  </si>
  <si>
    <t>3BM3-2</t>
  </si>
  <si>
    <t>3BM4-2</t>
  </si>
  <si>
    <t>3BM5.5-2</t>
  </si>
  <si>
    <t>3BM7.5-2</t>
  </si>
  <si>
    <t>3BM10-2</t>
  </si>
  <si>
    <t>3BM15-2</t>
  </si>
  <si>
    <t>3BM20-2</t>
  </si>
  <si>
    <t>3BM25-2</t>
  </si>
  <si>
    <t>3BM30-2</t>
  </si>
  <si>
    <t>3BM40-2</t>
  </si>
  <si>
    <t>3BM50-2</t>
  </si>
  <si>
    <t>3BM60-2</t>
  </si>
  <si>
    <t>3BM75-2</t>
  </si>
  <si>
    <t>3BM100-2</t>
  </si>
  <si>
    <t>3BM125-2</t>
  </si>
  <si>
    <t>3BM150-2</t>
  </si>
  <si>
    <t>3BM175-2</t>
  </si>
  <si>
    <t>3BM215-2</t>
  </si>
  <si>
    <t>3BM270-2</t>
  </si>
  <si>
    <t>3BM335-2</t>
  </si>
  <si>
    <t>3BM420-2</t>
  </si>
  <si>
    <t>BM0.75-4</t>
  </si>
  <si>
    <t>BM1-4</t>
  </si>
  <si>
    <t>BM1.5-4</t>
  </si>
  <si>
    <t>BM2-4</t>
  </si>
  <si>
    <t>BM3-4</t>
  </si>
  <si>
    <t>BM4-4</t>
  </si>
  <si>
    <t>BM5.5-4</t>
  </si>
  <si>
    <t>BM7.5-4</t>
  </si>
  <si>
    <t>BM10-4</t>
  </si>
  <si>
    <t>BM15-4</t>
  </si>
  <si>
    <t>BM20-4</t>
  </si>
  <si>
    <t>BM25-4</t>
  </si>
  <si>
    <t>BM30-4</t>
  </si>
  <si>
    <t>BM40-4</t>
  </si>
  <si>
    <t>BM50-4</t>
  </si>
  <si>
    <t>BM60-4</t>
  </si>
  <si>
    <t>BM75-4</t>
  </si>
  <si>
    <t>BM100-4</t>
  </si>
  <si>
    <t>BM125-4</t>
  </si>
  <si>
    <t>BM150-4</t>
  </si>
  <si>
    <t>BM175-4</t>
  </si>
  <si>
    <t>BM215-4</t>
  </si>
  <si>
    <t>BM270-4</t>
  </si>
  <si>
    <t>BM335-4</t>
  </si>
  <si>
    <t>BM420-4</t>
  </si>
  <si>
    <t>kG</t>
  </si>
  <si>
    <t>Kg</t>
  </si>
  <si>
    <t>AB</t>
  </si>
  <si>
    <t>x</t>
  </si>
  <si>
    <t>Frame</t>
  </si>
  <si>
    <t>80-2</t>
  </si>
  <si>
    <t>90S-2</t>
  </si>
  <si>
    <t>90L-2</t>
  </si>
  <si>
    <t>100L-2</t>
  </si>
  <si>
    <t>112M-2</t>
  </si>
  <si>
    <t>132S-2</t>
  </si>
  <si>
    <t>160M-2</t>
  </si>
  <si>
    <t>160L-2</t>
  </si>
  <si>
    <t>180M-2</t>
  </si>
  <si>
    <t>200L-2</t>
  </si>
  <si>
    <t>225M-2</t>
  </si>
  <si>
    <t>250M-2</t>
  </si>
  <si>
    <t>280S-2</t>
  </si>
  <si>
    <t>280M-2</t>
  </si>
  <si>
    <t>315S-2</t>
  </si>
  <si>
    <t>315M-2</t>
  </si>
  <si>
    <t>315L-2</t>
  </si>
  <si>
    <t>355M-2</t>
  </si>
  <si>
    <t>355L-2</t>
  </si>
  <si>
    <t>71-2</t>
  </si>
  <si>
    <t>3BM0.5-4</t>
  </si>
  <si>
    <t>3BM0.75-4</t>
  </si>
  <si>
    <t>3BM1-4</t>
  </si>
  <si>
    <t>3BM1.5-4</t>
  </si>
  <si>
    <t>3BM2-4</t>
  </si>
  <si>
    <t>3BM3-4</t>
  </si>
  <si>
    <t>3BM4-4</t>
  </si>
  <si>
    <t>3BM5.5-4</t>
  </si>
  <si>
    <t>3BM7.5-4</t>
  </si>
  <si>
    <t>3BM10-4</t>
  </si>
  <si>
    <t>3BM15-4</t>
  </si>
  <si>
    <t>3BM20-4</t>
  </si>
  <si>
    <t>3BM25-4</t>
  </si>
  <si>
    <t>3BM30-4</t>
  </si>
  <si>
    <t>3BM40-4</t>
  </si>
  <si>
    <t>3BM50-4</t>
  </si>
  <si>
    <t>3BM60-4</t>
  </si>
  <si>
    <t>3BM75-4</t>
  </si>
  <si>
    <t>3BM100-4</t>
  </si>
  <si>
    <t>3BM125-4</t>
  </si>
  <si>
    <t>3BM150-4</t>
  </si>
  <si>
    <t>3BM175-4</t>
  </si>
  <si>
    <t>3BM215-4</t>
  </si>
  <si>
    <t>3BM270-4</t>
  </si>
  <si>
    <t>3BM335-4</t>
  </si>
  <si>
    <t>3BM420-4</t>
  </si>
  <si>
    <t>71-4</t>
  </si>
  <si>
    <t>80-4</t>
  </si>
  <si>
    <t>90S-4</t>
  </si>
  <si>
    <t>90L-4</t>
  </si>
  <si>
    <t>100L-4</t>
  </si>
  <si>
    <t>112M-4</t>
  </si>
  <si>
    <t>132S-4</t>
  </si>
  <si>
    <t>160M-4</t>
  </si>
  <si>
    <t>132M-4</t>
  </si>
  <si>
    <t>160L-4</t>
  </si>
  <si>
    <t>180M-4</t>
  </si>
  <si>
    <t>180L-4</t>
  </si>
  <si>
    <t>200L-4</t>
  </si>
  <si>
    <t>225S-4</t>
  </si>
  <si>
    <t>225M-4</t>
  </si>
  <si>
    <t>250M-4</t>
  </si>
  <si>
    <t>280S-4</t>
  </si>
  <si>
    <t>280M-4</t>
  </si>
  <si>
    <t>315S-4</t>
  </si>
  <si>
    <t>315M-4</t>
  </si>
  <si>
    <t>315L-4</t>
  </si>
  <si>
    <t>355M-4</t>
  </si>
  <si>
    <t>355L-4</t>
  </si>
  <si>
    <t>4BM0.5-2</t>
  </si>
  <si>
    <t>4BM0.75-2</t>
  </si>
  <si>
    <t>4BM1-2</t>
  </si>
  <si>
    <t>4BM1.5-2</t>
  </si>
  <si>
    <t>4BM2-2</t>
  </si>
  <si>
    <t>4BM3-2</t>
  </si>
  <si>
    <t>4BM4-2</t>
  </si>
  <si>
    <t>4BM5.5-2</t>
  </si>
  <si>
    <t>4BM7.5-2</t>
  </si>
  <si>
    <t>4BM10-2</t>
  </si>
  <si>
    <t>4BM15-2</t>
  </si>
  <si>
    <t>4BM20-2</t>
  </si>
  <si>
    <t>4BM25-2</t>
  </si>
  <si>
    <t>4BM30-2</t>
  </si>
  <si>
    <t>4BM40-2</t>
  </si>
  <si>
    <t>4BM50-2</t>
  </si>
  <si>
    <t>4BM60-2</t>
  </si>
  <si>
    <t>4BM75-2</t>
  </si>
  <si>
    <t>4BM100-2</t>
  </si>
  <si>
    <t>4BM125-2</t>
  </si>
  <si>
    <t>4BM150-2</t>
  </si>
  <si>
    <t>4BM175-2</t>
  </si>
  <si>
    <t>4BM215-2</t>
  </si>
  <si>
    <t>4BM270-2</t>
  </si>
  <si>
    <t>4BM335-2</t>
  </si>
  <si>
    <t>4BM420-2</t>
  </si>
  <si>
    <t>4BM250-2</t>
  </si>
  <si>
    <t>4BM300-2</t>
  </si>
  <si>
    <t>4BM375-2</t>
  </si>
  <si>
    <t>4BM475-2</t>
  </si>
  <si>
    <t>4BM500-2</t>
  </si>
  <si>
    <t>355-2</t>
  </si>
  <si>
    <t>355-4</t>
  </si>
  <si>
    <t>4BM0.5-4</t>
  </si>
  <si>
    <t>4BM0.75-4</t>
  </si>
  <si>
    <t>4BM1-4</t>
  </si>
  <si>
    <t>4BM1.5-4</t>
  </si>
  <si>
    <t>4BM2-4</t>
  </si>
  <si>
    <t>4BM3-4</t>
  </si>
  <si>
    <t>4BM4-4</t>
  </si>
  <si>
    <t>4BM5.5-4</t>
  </si>
  <si>
    <t>4BM7.5-4</t>
  </si>
  <si>
    <t>4BM10-4</t>
  </si>
  <si>
    <t>4BM15-4</t>
  </si>
  <si>
    <t>4BM20-4</t>
  </si>
  <si>
    <t>4BM25-4</t>
  </si>
  <si>
    <t>4BM30-4</t>
  </si>
  <si>
    <t>4BM40-4</t>
  </si>
  <si>
    <t>4BM50-4</t>
  </si>
  <si>
    <t>4BM60-4</t>
  </si>
  <si>
    <t>4BM75-4</t>
  </si>
  <si>
    <t>4BM100-4</t>
  </si>
  <si>
    <t>4BM125-4</t>
  </si>
  <si>
    <t>4BM150-4</t>
  </si>
  <si>
    <t>4BM175-4</t>
  </si>
  <si>
    <t>4BM215-4</t>
  </si>
  <si>
    <t>4BM250-4</t>
  </si>
  <si>
    <t>4BM270-4</t>
  </si>
  <si>
    <t>4BM300-4</t>
  </si>
  <si>
    <t>4BM335-4</t>
  </si>
  <si>
    <t>4BM375-4</t>
  </si>
  <si>
    <t>4BM420-4</t>
  </si>
  <si>
    <t>4BM475-4</t>
  </si>
  <si>
    <t>4BM500-4</t>
  </si>
  <si>
    <t>2BM1-4</t>
  </si>
  <si>
    <t>2BM1.5-4</t>
  </si>
  <si>
    <t>2BM2-4</t>
  </si>
  <si>
    <t>2BM3-4</t>
  </si>
  <si>
    <t>2BM4-4</t>
  </si>
  <si>
    <t>2BM5.5-4</t>
  </si>
  <si>
    <t>2BM7.5-4</t>
  </si>
  <si>
    <t>2BM10-4</t>
  </si>
  <si>
    <t>2BM15-4</t>
  </si>
  <si>
    <t>2BM20-4</t>
  </si>
  <si>
    <t>2BM25-4</t>
  </si>
  <si>
    <t>2BM30-4</t>
  </si>
  <si>
    <t>2BM40-4</t>
  </si>
  <si>
    <t>2BM50-4</t>
  </si>
  <si>
    <t>2BM60-4</t>
  </si>
  <si>
    <t>2BM75-4</t>
  </si>
  <si>
    <t>2BM100-4</t>
  </si>
  <si>
    <t>2BM125-4</t>
  </si>
  <si>
    <t>2BM150-4</t>
  </si>
  <si>
    <t>2BM175-4</t>
  </si>
  <si>
    <t>2BM215-4</t>
  </si>
  <si>
    <t>2BM270-4</t>
  </si>
  <si>
    <t>2BM335-4</t>
  </si>
  <si>
    <t>2BM420-4</t>
  </si>
  <si>
    <t>5BM1-2</t>
  </si>
  <si>
    <t>5BM1.5-2</t>
  </si>
  <si>
    <t>5BM2-2</t>
  </si>
  <si>
    <t>5BM3-2</t>
  </si>
  <si>
    <t>5BM4-2</t>
  </si>
  <si>
    <t>5BM5.5-2</t>
  </si>
  <si>
    <t>5BM7.5-2</t>
  </si>
  <si>
    <t>5BM10-2</t>
  </si>
  <si>
    <t>5BM15-2</t>
  </si>
  <si>
    <t>5BM20-2</t>
  </si>
  <si>
    <t>5BM25-2</t>
  </si>
  <si>
    <t>5BM30-2</t>
  </si>
  <si>
    <t>5BM40-2</t>
  </si>
  <si>
    <t>5BM50-2</t>
  </si>
  <si>
    <t>5BM60-2</t>
  </si>
  <si>
    <t>5BM75-2</t>
  </si>
  <si>
    <t>5BM100-2</t>
  </si>
  <si>
    <t>5BM125-2</t>
  </si>
  <si>
    <t>5BM150-2</t>
  </si>
  <si>
    <t>5BM175-2</t>
  </si>
  <si>
    <t>5BM215-2</t>
  </si>
  <si>
    <t>5BM270-2</t>
  </si>
  <si>
    <t>5BM300-2</t>
  </si>
  <si>
    <t>5BM335-2</t>
  </si>
  <si>
    <t>5BM375-2</t>
  </si>
  <si>
    <t>5BM420-2</t>
  </si>
  <si>
    <t>5BM1-4</t>
  </si>
  <si>
    <t>5BM1.5-4</t>
  </si>
  <si>
    <t>5BM2-4</t>
  </si>
  <si>
    <t>5BM3-4</t>
  </si>
  <si>
    <t>5BM4-4</t>
  </si>
  <si>
    <t>5BM5.5-4</t>
  </si>
  <si>
    <t>5BM7.5-4</t>
  </si>
  <si>
    <t>5BM10-4</t>
  </si>
  <si>
    <t>5BM15-4</t>
  </si>
  <si>
    <t>5BM20-4</t>
  </si>
  <si>
    <t>5BM25-4</t>
  </si>
  <si>
    <t>5BM30-4</t>
  </si>
  <si>
    <t>5BM40-4</t>
  </si>
  <si>
    <t>5BM50-4</t>
  </si>
  <si>
    <t>5BM60-4</t>
  </si>
  <si>
    <t>5BM75-4</t>
  </si>
  <si>
    <t>5BM100-4</t>
  </si>
  <si>
    <t>5BM125-4</t>
  </si>
  <si>
    <t>5BM150-4</t>
  </si>
  <si>
    <t>5BM175-4</t>
  </si>
  <si>
    <t>5BM215-4</t>
  </si>
  <si>
    <t>5BM270-4</t>
  </si>
  <si>
    <t>5BM300-4</t>
  </si>
  <si>
    <t>5BM335-4</t>
  </si>
  <si>
    <t>5BM375-4</t>
  </si>
  <si>
    <t>5BM420-4</t>
  </si>
  <si>
    <t>5BM0.75-4</t>
  </si>
  <si>
    <t>L</t>
  </si>
  <si>
    <t>E</t>
  </si>
  <si>
    <t>C</t>
  </si>
  <si>
    <t>B</t>
  </si>
  <si>
    <t>A</t>
  </si>
  <si>
    <t>BB</t>
  </si>
  <si>
    <t>H</t>
  </si>
  <si>
    <t>80-6</t>
  </si>
  <si>
    <t>80-8</t>
  </si>
  <si>
    <t>90S-6</t>
  </si>
  <si>
    <t>90S-8</t>
  </si>
  <si>
    <t>90L-6</t>
  </si>
  <si>
    <t>90L-8</t>
  </si>
  <si>
    <t>100L-6</t>
  </si>
  <si>
    <t>100L-8</t>
  </si>
  <si>
    <t>112M-6</t>
  </si>
  <si>
    <t>112M-8</t>
  </si>
  <si>
    <t>132S-6</t>
  </si>
  <si>
    <t>132S-8</t>
  </si>
  <si>
    <t>132M-6</t>
  </si>
  <si>
    <t>132M-8</t>
  </si>
  <si>
    <t>160M-6</t>
  </si>
  <si>
    <t>160M-8</t>
  </si>
  <si>
    <t>160L-6</t>
  </si>
  <si>
    <t>160L-8</t>
  </si>
  <si>
    <t>180M-8</t>
  </si>
  <si>
    <t>180L-6</t>
  </si>
  <si>
    <t>180L-8</t>
  </si>
  <si>
    <t>200L-6</t>
  </si>
  <si>
    <t>200L-8</t>
  </si>
  <si>
    <t>225S-8</t>
  </si>
  <si>
    <t>225M-6</t>
  </si>
  <si>
    <t>225M-8</t>
  </si>
  <si>
    <t>250M-6</t>
  </si>
  <si>
    <t>250M-8</t>
  </si>
  <si>
    <t>280S-6</t>
  </si>
  <si>
    <t>280S-8</t>
  </si>
  <si>
    <t>280M-6</t>
  </si>
  <si>
    <t>280M-8</t>
  </si>
  <si>
    <t>315S-6</t>
  </si>
  <si>
    <t>315S-8</t>
  </si>
  <si>
    <t>315S-10</t>
  </si>
  <si>
    <t>315M-6</t>
  </si>
  <si>
    <t>315M-8</t>
  </si>
  <si>
    <t>315M-10</t>
  </si>
  <si>
    <t>315L-6</t>
  </si>
  <si>
    <t>315L-8</t>
  </si>
  <si>
    <t>315L-10</t>
  </si>
  <si>
    <t>355M-6</t>
  </si>
  <si>
    <t>355M-8</t>
  </si>
  <si>
    <t>355M-10</t>
  </si>
  <si>
    <t>355L-6</t>
  </si>
  <si>
    <t>355L-8</t>
  </si>
  <si>
    <t>355L-10</t>
  </si>
  <si>
    <t>400M-2</t>
  </si>
  <si>
    <t>400M-4</t>
  </si>
  <si>
    <t>400M-6</t>
  </si>
  <si>
    <t>400M-8</t>
  </si>
  <si>
    <t>400M-10</t>
  </si>
  <si>
    <t>400L-10</t>
  </si>
  <si>
    <t>400L-2</t>
  </si>
  <si>
    <t>400L-4</t>
  </si>
  <si>
    <t>400L-6</t>
  </si>
  <si>
    <t>400L-8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</si>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</sst>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left"/>
    </xf>
    <xf numFmtId="1" fontId="0" fillId="0" borderId="0" xfId="0" applyNumberFormat="1"/>
    <xf numFmtId="164" fontId="0" fillId="0" borderId="0" xfId="0" applyNumberFormat="1" applyAlignment="1">
      <alignment horizontal="left" indent="3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5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BDB5DC-4AB1-42A0-A823-845923915E29}" name="Motor_Pole_T" displayName="Motor_Pole_T" ref="B2:C6" totalsRowShown="0" headerRowDxfId="145">
  <autoFilter ref="B2:C6" xr:uid="{BDBDB5DC-4AB1-42A0-A823-845923915E29}"/>
  <tableColumns count="2">
    <tableColumn id="1" xr3:uid="{61CF4F99-00AC-4662-B06C-A012DEB176DE}" name="MotorPoleCode"/>
    <tableColumn id="2" xr3:uid="{A6EB61E5-4DA0-497D-99FF-C45D342431B8}" name="Motor Pol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27F1D-4169-44FF-9664-F738C377887B}" name="Motor_Efficiency_T" displayName="Motor_Efficiency_T" ref="B2:C7" totalsRowShown="0" headerRowDxfId="144">
  <autoFilter ref="B2:C7" xr:uid="{D5027F1D-4169-44FF-9664-F738C377887B}"/>
  <tableColumns count="2">
    <tableColumn id="1" xr3:uid="{3C777FE4-F93E-475C-AAF3-979E88C237D0}" name="MotorEffCode"/>
    <tableColumn id="2" xr3:uid="{273B81D3-3618-4721-8250-CF9970029C97}" name="Motor Eff Clas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01E455-919C-4B90-A1AB-64EAE583131B}" name="Motor_HP_T" displayName="Motor_HP_T" ref="B2:D37" totalsRowShown="0" headerRowDxfId="143" dataDxfId="142">
  <autoFilter ref="B2:D37" xr:uid="{9C01E455-919C-4B90-A1AB-64EAE583131B}"/>
  <tableColumns count="3">
    <tableColumn id="1" xr3:uid="{C7834542-B2D2-4F63-8C79-53A80E92DC32}" name="Motor HP Code" dataDxfId="141"/>
    <tableColumn id="2" xr3:uid="{6EF7FABA-0E64-4EB8-9BA5-B483EE60AC4C}" name="kW" dataDxfId="140"/>
    <tableColumn id="3" xr3:uid="{BAC5FF39-FEEE-409D-924D-B482F92B555E}" name="HP" dataDxfId="139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3F7042-311E-48E8-B22E-B08C71DDEDD0}" name="Motor_Voltage_T" displayName="Motor_Voltage_T" ref="B2:C4" totalsRowShown="0" headerRowDxfId="138">
  <autoFilter ref="B2:C4" xr:uid="{CC45C084-96E0-476C-8E7B-43C0E3C8FA41}"/>
  <tableColumns count="2">
    <tableColumn id="1" xr3:uid="{4D8423FF-6257-469D-B367-D4FC8DE87869}" name="MotorVoltageCode" dataDxfId="137"/>
    <tableColumn id="2" xr3:uid="{B2DEF9AC-BAB4-4709-AF3D-FA56E71FA7CE}" name="Voltage" dataDxfId="13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40AF7-0D3F-48AC-800E-2B8724F8E047}" name="Motor_Phase_T" displayName="Motor_Phase_T" ref="B2:C4" totalsRowShown="0" headerRowDxfId="135">
  <autoFilter ref="B2:C4" xr:uid="{CC45C084-96E0-476C-8E7B-43C0E3C8FA41}"/>
  <tableColumns count="2">
    <tableColumn id="1" xr3:uid="{F898310F-DCE9-4F2F-BA44-21865DB95EBE}" name="MotorPhaseCode" dataDxfId="134"/>
    <tableColumn id="2" xr3:uid="{FDCDEDC2-975D-4C05-82CF-F478F7C0CD3C}" name="Phase" dataDxfId="133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45C084-96E0-476C-8E7B-43C0E3C8FA41}" name="Motor_Frequency_T" displayName="Motor_Frequency_T" ref="B2:C4" totalsRowShown="0" headerRowDxfId="132">
  <autoFilter ref="B2:C4" xr:uid="{CC45C084-96E0-476C-8E7B-43C0E3C8FA41}"/>
  <tableColumns count="2">
    <tableColumn id="1" xr3:uid="{94FE1D1C-40C2-4608-B66E-AEEA6F9A07AC}" name="MotorHzCode" dataDxfId="131"/>
    <tableColumn id="2" xr3:uid="{B8E990D1-CAAD-41CF-8E27-439C6B265C11}" name="Frequency" dataDxfId="130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CF5090-DBED-4C47-9839-0BEF310CA23C}" name="Motor_2P_IE1_T" displayName="Motor_2P_IE1_T" ref="B2:L37" totalsRowShown="0" headerRowDxfId="129" dataDxfId="128">
  <autoFilter ref="B2:L37" xr:uid="{09CF5090-DBED-4C47-9839-0BEF310CA23C}"/>
  <tableColumns count="11">
    <tableColumn id="1" xr3:uid="{E396F19C-EA35-46D9-AEEE-EBB541D5A017}" name="HP" dataDxfId="127"/>
    <tableColumn id="2" xr3:uid="{C85D8B2D-7DA4-4EFC-8823-A34E89F008E0}" name="Model" dataDxfId="126"/>
    <tableColumn id="3" xr3:uid="{D612606C-478B-439D-AE25-3586C219488E}" name="RPM" dataDxfId="125"/>
    <tableColumn id="4" xr3:uid="{71E4AB8B-7509-4A71-BF07-D60E1ADCD454}" name="Rated FL Amp (415V)(3Ph)" dataDxfId="124"/>
    <tableColumn id="5" xr3:uid="{5EA303B1-6126-43EB-9A1D-2F9C6CC9A354}" name="Rated FL Amp (240V)(1Ph)" dataDxfId="123">
      <calculatedColumnFormula>ROUNDUP(Motor_2P_IE1_T[[#This Row],[Rated FL Amp (415V)(3Ph)]]*((SQRT(3)*$E$1)/$F$1),1)</calculatedColumnFormula>
    </tableColumn>
    <tableColumn id="6" xr3:uid="{9375AE4E-55BF-41AF-BB1B-1178BEDFB38B}" name="Eff 100" dataDxfId="122"/>
    <tableColumn id="7" xr3:uid="{5B7EB155-D1BE-41E0-BA21-3785C494DE2E}" name="Eff 75" dataDxfId="121"/>
    <tableColumn id="8" xr3:uid="{ECD7CB3C-AE5C-4DED-8090-D72DB83DE61B}" name="PF 100" dataDxfId="120"/>
    <tableColumn id="9" xr3:uid="{174A085F-4106-482D-A1CF-921F377F239C}" name="PF 75" dataDxfId="119"/>
    <tableColumn id="12" xr3:uid="{4C60E349-E827-46D3-B4DC-F9FA9FEAFD01}" name="Kg" dataDxfId="118"/>
    <tableColumn id="10" xr3:uid="{C3CBE582-91E6-4BBB-A3DD-9DD727B8384A}" name="Frame" dataDxfId="117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6F6A66-47F4-4E2F-AE50-B33BD2A522E7}" name="Motor_4P_IE1_T" displayName="Motor_4P_IE1_T" ref="B2:L27" totalsRowShown="0" headerRowDxfId="103" dataDxfId="102">
  <autoFilter ref="B2:L27" xr:uid="{09CF5090-DBED-4C47-9839-0BEF310CA23C}"/>
  <tableColumns count="11">
    <tableColumn id="1" xr3:uid="{13AC7897-F479-4931-8C41-EFFB32D96C5D}" name="HP" dataDxfId="101"/>
    <tableColumn id="2" xr3:uid="{48C626F4-7C2B-4206-9DCA-C126AD5DD777}" name="Model" dataDxfId="100"/>
    <tableColumn id="3" xr3:uid="{8BB951DC-8C4B-49BF-8E65-2F1F78CF07F9}" name="RPM" dataDxfId="99"/>
    <tableColumn id="4" xr3:uid="{64BC3028-0D88-4665-BEFF-531B337204D9}" name="Rated FL Amp (415V)(3Ph)" dataDxfId="98"/>
    <tableColumn id="5" xr3:uid="{606E0B26-453F-4800-BDBE-92BB9D754D7F}" name="Rated FL Amp (240V)(1Ph)" dataDxfId="97">
      <calculatedColumnFormula>ROUNDUP(Motor_4P_IE1_T[[#This Row],[Rated FL Amp (415V)(3Ph)]]*((SQRT(3)*$E$1)/$F$1),1)</calculatedColumnFormula>
    </tableColumn>
    <tableColumn id="6" xr3:uid="{554F3A18-BF57-4673-8332-24BC8D829EF0}" name="Eff 100" dataDxfId="96"/>
    <tableColumn id="7" xr3:uid="{E980050D-6A6F-4623-A648-D77750C54E46}" name="Eff 75" dataDxfId="95"/>
    <tableColumn id="8" xr3:uid="{1B1C8615-C982-48DE-98DC-26D5A327B429}" name="PF 100" dataDxfId="94"/>
    <tableColumn id="9" xr3:uid="{3BD04630-6D35-4303-BF4D-235937E46763}" name="PF 75" dataDxfId="93"/>
    <tableColumn id="11" xr3:uid="{7F30ABB2-A956-4B7C-A3A5-4EE5C584FE58}" name="Kg" dataDxfId="92"/>
    <tableColumn id="10" xr3:uid="{4B19F66B-C5E5-40A9-96B5-21537D33DB69}" name="Column1" dataDxfId="0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B69A4D-A960-4B0F-8EE2-5679FAA061BF}" name="Motor_2P_IE2_T" displayName="Motor_2P_IE2_T" ref="B2:L26" totalsRowShown="0" headerRowDxfId="91" dataDxfId="90">
  <autoFilter ref="B2:L26" xr:uid="{09CF5090-DBED-4C47-9839-0BEF310CA23C}"/>
  <tableColumns count="11">
    <tableColumn id="1" xr3:uid="{04564F3D-D6C5-423C-88BE-F3FAC3A11E7B}" name="HP" dataDxfId="89"/>
    <tableColumn id="2" xr3:uid="{AB9B1EB3-4A72-4850-BD0B-708731519587}" name="Model" dataDxfId="88"/>
    <tableColumn id="3" xr3:uid="{207A4E8B-0D89-4942-B7BA-D9EF71AB760E}" name="RPM" dataDxfId="87"/>
    <tableColumn id="4" xr3:uid="{66A70FB0-7A3F-46C4-9B9F-C86E6521D6B4}" name="Rated FL Amp (415V)(3Ph)" dataDxfId="86"/>
    <tableColumn id="5" xr3:uid="{86E0DDB3-F1FE-4DD8-A0DA-00D2880FCB7F}" name="Rated FL Amp (240V)(1Ph)" dataDxfId="85">
      <calculatedColumnFormula>ROUNDUP(Motor_2P_IE2_T[[#This Row],[Rated FL Amp (415V)(3Ph)]]*((SQRT(3)*$E$1)/$F$1),1)</calculatedColumnFormula>
    </tableColumn>
    <tableColumn id="6" xr3:uid="{813AEC23-BD2C-4285-AF8A-EE5199825DE0}" name="Eff 100" dataDxfId="84"/>
    <tableColumn id="7" xr3:uid="{2B1A1A10-CF79-4959-81F7-BB87E15CEEC5}" name="Eff 75" dataDxfId="83"/>
    <tableColumn id="8" xr3:uid="{8760F3F9-7520-41E4-AFA6-17D270494418}" name="PF 100" dataDxfId="82"/>
    <tableColumn id="9" xr3:uid="{ABF7A6B0-E793-4F30-98FD-6BDC11F45C97}" name="PF 75" dataDxfId="81"/>
    <tableColumn id="10" xr3:uid="{0F0810C8-DA57-42E9-876E-A9886B0A267E}" name="kG" dataDxfId="80"/>
    <tableColumn id="11" xr3:uid="{FD6A5211-F2C0-4320-9CE9-9256D46D609D}" name="Frame" dataDxfId="79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ABA01FB-E842-4C32-B197-5B97A3FB3701}" name="Motor_4P_IE2_T" displayName="Motor_4P_IE2_T" ref="B2:L26" totalsRowShown="0" headerRowDxfId="116" dataDxfId="115">
  <autoFilter ref="B2:L26" xr:uid="{09CF5090-DBED-4C47-9839-0BEF310CA23C}"/>
  <tableColumns count="11">
    <tableColumn id="1" xr3:uid="{F0387129-244D-44D7-AFBB-E0296E85FA95}" name="HP" dataDxfId="114"/>
    <tableColumn id="2" xr3:uid="{C0E28CB5-E765-4768-AD38-B3AF3588C442}" name="Model" dataDxfId="113"/>
    <tableColumn id="3" xr3:uid="{4EF7A991-3FB5-4A38-A1F7-38C314B7E802}" name="RPM" dataDxfId="112"/>
    <tableColumn id="4" xr3:uid="{99A746D8-426B-4E01-AA44-61A01BB9F1E3}" name="Rated FL Amp (415V)(3Ph)" dataDxfId="111"/>
    <tableColumn id="5" xr3:uid="{6476D09F-44A5-47FD-A40F-B54D73D9C1A4}" name="Rated FL Amp (240V)(1Ph)" dataDxfId="110">
      <calculatedColumnFormula>ROUNDUP(Motor_4P_IE2_T[[#This Row],[Rated FL Amp (415V)(3Ph)]]*((SQRT(3)*$E$1)/$F$1),1)</calculatedColumnFormula>
    </tableColumn>
    <tableColumn id="6" xr3:uid="{901299B4-266A-4E43-9659-0C346F504CAA}" name="Eff 100" dataDxfId="109"/>
    <tableColumn id="7" xr3:uid="{0B10A7EC-2593-451D-88EE-89EB627BE8D7}" name="Eff 75" dataDxfId="108"/>
    <tableColumn id="8" xr3:uid="{47DB10FD-9400-4AFA-A420-6E2F0B5375B5}" name="PF 100" dataDxfId="107"/>
    <tableColumn id="9" xr3:uid="{544E8213-2F2A-4EE8-B0EC-D674D20F3E58}" name="PF 75" dataDxfId="106"/>
    <tableColumn id="10" xr3:uid="{174FBE53-C361-4146-86D1-F259C2EEAEBC}" name="kG" dataDxfId="105"/>
    <tableColumn id="11" xr3:uid="{41C57151-6F0C-4D93-BCF4-D12741CA9A0F}" name="Frame" dataDxfId="104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732F43-79BC-4CC3-B987-8B46285F825E}" name="Motor_2P_IE3_T" displayName="Motor_2P_IE3_T" ref="B2:L28" totalsRowShown="0" headerRowDxfId="78" dataDxfId="77">
  <autoFilter ref="B2:L28" xr:uid="{09CF5090-DBED-4C47-9839-0BEF310CA23C}"/>
  <tableColumns count="11">
    <tableColumn id="1" xr3:uid="{3351554E-4C1B-4A6C-8D1D-853A61C6AB0E}" name="HP" dataDxfId="76"/>
    <tableColumn id="2" xr3:uid="{0ADC78B0-F44F-4A96-A6C0-AB6DE565AECF}" name="Model" dataDxfId="75"/>
    <tableColumn id="3" xr3:uid="{BE748D8E-CFE9-4328-97FF-4E40328667F9}" name="RPM" dataDxfId="74"/>
    <tableColumn id="4" xr3:uid="{7E115FF0-BF0F-421B-B369-38F042BDEDE3}" name="Rated FL Amp (415V)(3Ph)" dataDxfId="73"/>
    <tableColumn id="5" xr3:uid="{0B5B241B-4AE8-4864-95CD-22A4AD69D765}" name="Rated FL Amp (240V)(1Ph)" dataDxfId="72">
      <calculatedColumnFormula>ROUNDUP(Motor_2P_IE3_T[[#This Row],[Rated FL Amp (415V)(3Ph)]]*((SQRT(3)*$E$1)/$F$1),1)</calculatedColumnFormula>
    </tableColumn>
    <tableColumn id="6" xr3:uid="{8F9DD15A-C33C-4496-B49D-CE96E353BBBD}" name="Eff 100" dataDxfId="71"/>
    <tableColumn id="7" xr3:uid="{D74ED675-BE9E-4DC8-9BCD-B0809A8A76BA}" name="Eff 75" dataDxfId="70"/>
    <tableColumn id="8" xr3:uid="{531C999F-8EE2-485F-9E46-9A202D035959}" name="PF 100" dataDxfId="69"/>
    <tableColumn id="9" xr3:uid="{AEEBD007-97A2-48A2-B882-950FA9B2AF43}" name="PF 75" dataDxfId="68"/>
    <tableColumn id="10" xr3:uid="{80E31205-F4D7-4B37-93D6-D06C5E4C4F8F}" name="kG" dataDxfId="67"/>
    <tableColumn id="11" xr3:uid="{B994A749-EC6C-482A-8976-D1C5A8C4484A}" name="Frame" dataDxfId="66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0E764E-0452-4ED9-BEB9-CF41EB961921}" name="Motor_4P_IE3_T" displayName="Motor_4P_IE3_T" ref="B2:L28" totalsRowShown="0" headerRowDxfId="65" dataDxfId="64">
  <autoFilter ref="B2:L28" xr:uid="{09CF5090-DBED-4C47-9839-0BEF310CA23C}"/>
  <tableColumns count="11">
    <tableColumn id="1" xr3:uid="{F55D8CDC-7626-425D-A580-E12786C42A59}" name="HP" dataDxfId="63"/>
    <tableColumn id="2" xr3:uid="{7434F78E-CCDC-4D02-904F-2A1DBC968566}" name="Model" dataDxfId="62"/>
    <tableColumn id="3" xr3:uid="{7EE88FE5-70E5-4CB1-85AF-3E397C611684}" name="RPM" dataDxfId="61"/>
    <tableColumn id="4" xr3:uid="{B04A3639-FBEC-48FF-A451-1437DA3C7EBF}" name="Rated FL Amp (415V)(3Ph)" dataDxfId="60"/>
    <tableColumn id="5" xr3:uid="{076D2A44-3D12-4058-91C6-F2BBFE3CCFCF}" name="Rated FL Amp (240V)(1Ph)" dataDxfId="59">
      <calculatedColumnFormula>ROUNDUP(Motor_4P_IE3_T[[#This Row],[Rated FL Amp (415V)(3Ph)]]*((SQRT(3)*$E$1)/$F$1),1)</calculatedColumnFormula>
    </tableColumn>
    <tableColumn id="6" xr3:uid="{B78E1672-ED3E-4AE4-9941-D3DEC7D0B9C5}" name="Eff 100" dataDxfId="58"/>
    <tableColumn id="7" xr3:uid="{C27F3CF4-E3D3-45FD-91D7-324C34008344}" name="Eff 75" dataDxfId="57"/>
    <tableColumn id="8" xr3:uid="{C42E8B32-F2FF-469D-AC40-74734C8137BC}" name="PF 100" dataDxfId="56"/>
    <tableColumn id="9" xr3:uid="{F1DB6762-DD7A-4619-9D2F-E37FD1153972}" name="PF 75" dataDxfId="55"/>
    <tableColumn id="10" xr3:uid="{79B57A3E-E173-4F96-85B2-22725741DC13}" name="kG" dataDxfId="54"/>
    <tableColumn id="11" xr3:uid="{7CF1E927-FD46-4584-835E-4D4DFB7DF802}" name="Frame" dataDxfId="53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A659B0-E95F-49C1-9234-B7392784B917}" name="Motor_2P_IE4_T" displayName="Motor_2P_IE4_T" ref="B2:L33" totalsRowShown="0" headerRowDxfId="52" dataDxfId="51">
  <autoFilter ref="B2:L33" xr:uid="{09CF5090-DBED-4C47-9839-0BEF310CA23C}"/>
  <tableColumns count="11">
    <tableColumn id="1" xr3:uid="{45A79EC0-7CF6-4B81-8D75-293E47314414}" name="HP" dataDxfId="50"/>
    <tableColumn id="2" xr3:uid="{D58C68AD-1116-4EC3-8BC9-B1649258B3E4}" name="Model" dataDxfId="49"/>
    <tableColumn id="3" xr3:uid="{63318902-27EF-4982-922E-A42EB6B6DE07}" name="RPM" dataDxfId="48"/>
    <tableColumn id="4" xr3:uid="{463E97D5-4634-46BE-B874-54875E5E61F2}" name="Rated FL Amp (415V)(3Ph)" dataDxfId="47"/>
    <tableColumn id="5" xr3:uid="{4D2D6EFA-4B21-4FE8-B7D1-34D055A502D5}" name="Rated FL Amp (240V)(1Ph)" dataDxfId="46">
      <calculatedColumnFormula>ROUNDUP(Motor_2P_IE4_T[[#This Row],[Rated FL Amp (415V)(3Ph)]]*((SQRT(3)*$E$1)/$F$1),1)</calculatedColumnFormula>
    </tableColumn>
    <tableColumn id="6" xr3:uid="{4B2C7903-87FD-4447-9B21-AA66E762C6D8}" name="Eff 100" dataDxfId="45"/>
    <tableColumn id="7" xr3:uid="{579BA953-D139-4E43-9B65-D6452D20533C}" name="Eff 75" dataDxfId="44"/>
    <tableColumn id="8" xr3:uid="{60D18CFE-105C-4AD2-A77D-DE4E61DCACC4}" name="PF 100" dataDxfId="43"/>
    <tableColumn id="9" xr3:uid="{2633C17D-275C-4020-A083-6F986F847205}" name="PF 75" dataDxfId="42"/>
    <tableColumn id="10" xr3:uid="{21FFC992-8E32-4310-8F8F-493468047FF8}" name="kG" dataDxfId="41"/>
    <tableColumn id="11" xr3:uid="{426D9B1E-6E1D-4843-B96D-B156719BC11C}" name="Frame" dataDxfId="40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BC6157-6FF8-40E7-AA60-12D8E27B8FB9}" name="Motor_4P_IE4_T" displayName="Motor_4P_IE4_T" ref="B2:L33" totalsRowShown="0" headerRowDxfId="39" dataDxfId="38">
  <autoFilter ref="B2:L33" xr:uid="{09CF5090-DBED-4C47-9839-0BEF310CA23C}"/>
  <tableColumns count="11">
    <tableColumn id="1" xr3:uid="{092A1F82-FAAA-4079-8D61-5BAE66797107}" name="HP" dataDxfId="37"/>
    <tableColumn id="2" xr3:uid="{D34C0034-39C7-4B2E-BC40-3DE13FD468EC}" name="Model" dataDxfId="36"/>
    <tableColumn id="3" xr3:uid="{EA34FFE4-1D54-4BDF-8C1E-4FEDB89017F5}" name="RPM" dataDxfId="35"/>
    <tableColumn id="4" xr3:uid="{19D81A2D-60C2-46BB-93C5-A50C47EF66C5}" name="Rated FL Amp (415V)(3Ph)" dataDxfId="34"/>
    <tableColumn id="5" xr3:uid="{CFAAEAEB-0B2B-4A49-9A2B-6C9CA27C988E}" name="Rated FL Amp (240V)(1Ph)" dataDxfId="33">
      <calculatedColumnFormula>ROUNDUP(Motor_4P_IE4_T[[#This Row],[Rated FL Amp (415V)(3Ph)]]*((SQRT(3)*$E$1)/$F$1),1)</calculatedColumnFormula>
    </tableColumn>
    <tableColumn id="6" xr3:uid="{D08DB345-7FF9-4A13-BD65-923C4EA7C02C}" name="Eff 100" dataDxfId="32"/>
    <tableColumn id="7" xr3:uid="{CFAC9B1C-AC8A-4D2C-B41F-2CE385909FDF}" name="Eff 75" dataDxfId="31"/>
    <tableColumn id="8" xr3:uid="{75406293-A0A0-4853-B2D7-527A0C51A518}" name="PF 100" dataDxfId="30"/>
    <tableColumn id="9" xr3:uid="{77AA7F87-4A30-4F18-9720-A5527230FB48}" name="PF 75" dataDxfId="29"/>
    <tableColumn id="10" xr3:uid="{43870E5F-B196-47BD-A7F1-42F6E1EB14D0}" name="kG" dataDxfId="28"/>
    <tableColumn id="11" xr3:uid="{3CFF427B-FC43-4638-826A-2D38A5AD0942}" name="Frame" dataDxfId="27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0D89F7-44D1-40C4-AF0C-8059EEEB1F45}" name="Motor_2P_IE5_T" displayName="Motor_2P_IE5_T" ref="B2:L28" totalsRowShown="0" headerRowDxfId="26" dataDxfId="25">
  <autoFilter ref="B2:L28" xr:uid="{09CF5090-DBED-4C47-9839-0BEF310CA23C}"/>
  <tableColumns count="11">
    <tableColumn id="1" xr3:uid="{FA9673E8-1C80-42DC-87CD-EAD365F3A9F4}" name="HP" dataDxfId="24"/>
    <tableColumn id="2" xr3:uid="{833EAF9F-0D9A-4EF2-B62D-641A84E43F5C}" name="Model" dataDxfId="23"/>
    <tableColumn id="3" xr3:uid="{2B664994-5DFA-4D59-9341-9B6703B1ADC3}" name="RPM" dataDxfId="22"/>
    <tableColumn id="4" xr3:uid="{12331757-E000-4DEE-8F54-860693D8ED8C}" name="Rated FL Amp (415V)(3Ph)" dataDxfId="21"/>
    <tableColumn id="5" xr3:uid="{C3173774-8BD7-4764-B930-E39A3437A32F}" name="Rated FL Amp (240V)(1Ph)" dataDxfId="20">
      <calculatedColumnFormula>ROUNDUP(Motor_2P_IE5_T[[#This Row],[Rated FL Amp (415V)(3Ph)]]*((SQRT(3)*$E$1)/$F$1),1)</calculatedColumnFormula>
    </tableColumn>
    <tableColumn id="6" xr3:uid="{C03CC8D7-2284-461C-B718-CB38DECFB396}" name="Eff 100" dataDxfId="19"/>
    <tableColumn id="7" xr3:uid="{99E4A161-2D7D-4973-A346-F97B426DD93E}" name="Eff 75" dataDxfId="18"/>
    <tableColumn id="8" xr3:uid="{BF51B82D-53F1-4801-9704-17F32AED1FD0}" name="PF 100" dataDxfId="17"/>
    <tableColumn id="9" xr3:uid="{6305EC5A-6C98-4F31-8028-E94103C36EE4}" name="PF 75" dataDxfId="16"/>
    <tableColumn id="10" xr3:uid="{1E69B4B0-BDA1-402D-88A1-5E2EF3147B05}" name="kG" dataDxfId="15"/>
    <tableColumn id="11" xr3:uid="{3E27F999-B8EC-4BC1-873E-B0B54CD51CAC}" name="Frame" dataDxfId="14"/>
  </tableColumns>
  <tableStyleInfo name="TableStyleMedium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52F26D-408A-4A3F-81A1-4AA71D12F680}" name="Motor_4P_IE5_T" displayName="Motor_4P_IE5_T" ref="B2:L29" totalsRowShown="0" headerRowDxfId="13" dataDxfId="12">
  <autoFilter ref="B2:L29" xr:uid="{09CF5090-DBED-4C47-9839-0BEF310CA23C}"/>
  <tableColumns count="11">
    <tableColumn id="1" xr3:uid="{6B533400-04D6-41BA-8999-5D2DB0D33C8B}" name="HP" dataDxfId="11"/>
    <tableColumn id="2" xr3:uid="{7BCA910F-2346-45EF-87AC-77B80F31334F}" name="Model" dataDxfId="10"/>
    <tableColumn id="3" xr3:uid="{CDFAD5FE-86BF-4B8C-B421-0D4B3284556B}" name="RPM" dataDxfId="9"/>
    <tableColumn id="4" xr3:uid="{45CE0C45-E387-4107-91C6-EAD48B61C559}" name="Rated FL Amp (415V)(3Ph)" dataDxfId="8"/>
    <tableColumn id="5" xr3:uid="{39E332FF-35DE-44E4-A65D-78830ECB43E4}" name="Rated FL Amp (240V)(1Ph)" dataDxfId="7">
      <calculatedColumnFormula>ROUNDUP(Motor_4P_IE5_T[[#This Row],[Rated FL Amp (415V)(3Ph)]]*((SQRT(3)*$E$1)/$F$1),1)</calculatedColumnFormula>
    </tableColumn>
    <tableColumn id="6" xr3:uid="{6A9D249D-07EF-4E8C-A34C-816D28668A26}" name="Eff 100" dataDxfId="6"/>
    <tableColumn id="7" xr3:uid="{2813E4B5-ADEF-4BBF-A23E-F4286CE28692}" name="Eff 75" dataDxfId="5"/>
    <tableColumn id="8" xr3:uid="{B1536A53-E8CA-4A78-81D9-15FC42670D1E}" name="PF 100" dataDxfId="4"/>
    <tableColumn id="9" xr3:uid="{DE57F849-5AF7-4C75-BB39-D18E8C8D23AC}" name="PF 75" dataDxfId="3"/>
    <tableColumn id="10" xr3:uid="{6677F009-3288-4E0F-B909-2D25DAF03595}" name="kG" dataDxfId="2"/>
    <tableColumn id="11" xr3:uid="{D8170C44-B34F-4BC8-8C00-3710C0D7E835}" name="Frame" dataDxfId="1"/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A40FA66-60B7-4D00-93CF-D2BF24E70D8C}" name="FrameT" displayName="FrameT" ref="B3:J101" totalsRowShown="0" headerRowDxfId="156" dataDxfId="155">
  <autoFilter ref="B3:J101" xr:uid="{BA40FA66-60B7-4D00-93CF-D2BF24E70D8C}"/>
  <tableColumns count="9">
    <tableColumn id="1" xr3:uid="{F804C4A9-D0F7-4FB8-A955-30C1607A8870}" name="Frame" dataDxfId="154"/>
    <tableColumn id="2" xr3:uid="{C9E3187C-00BB-473A-8201-B87FEAD8D659}" name="L" dataDxfId="153"/>
    <tableColumn id="3" xr3:uid="{7043FC55-1E5E-4BC6-9CE5-DEF7392DD44E}" name="AB" dataDxfId="152"/>
    <tableColumn id="4" xr3:uid="{F5A08235-52FF-476F-90F8-9750AA1B1798}" name="E" dataDxfId="151"/>
    <tableColumn id="5" xr3:uid="{704C0F20-D925-4298-883C-6C37F838D934}" name="C" dataDxfId="150"/>
    <tableColumn id="6" xr3:uid="{746AB914-48B6-4DDE-9882-AD80ECA098AC}" name="B" dataDxfId="149"/>
    <tableColumn id="7" xr3:uid="{C9575BB2-9495-4B51-80E1-786976986EEF}" name="BB" dataDxfId="148"/>
    <tableColumn id="8" xr3:uid="{B0CB38C9-DECD-4E20-BCCB-264F8A0C7FE9}" name="A" dataDxfId="147"/>
    <tableColumn id="9" xr3:uid="{4AD3BF48-9DF1-4B2E-B6C5-FAE9AE1BD0C1}" name="H" dataDxfId="14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EC4D-EC2C-41FC-94F1-EA7D35CDC3EA}">
  <dimension ref="B2:C6"/>
  <sheetViews>
    <sheetView workbookViewId="0">
      <selection activeCell="G24" sqref="G24"/>
    </sheetView>
  </sheetViews>
  <sheetFormatPr defaultRowHeight="14.4" x14ac:dyDescent="0.3"/>
  <cols>
    <col min="2" max="3" width="18.77734375" customWidth="1"/>
  </cols>
  <sheetData>
    <row r="2" spans="2:3" x14ac:dyDescent="0.3">
      <c r="B2" s="1" t="s">
        <v>7</v>
      </c>
      <c r="C2" s="1" t="s">
        <v>59</v>
      </c>
    </row>
    <row r="3" spans="2:3" x14ac:dyDescent="0.3">
      <c r="B3" t="s">
        <v>12</v>
      </c>
      <c r="C3" t="s">
        <v>8</v>
      </c>
    </row>
    <row r="4" spans="2:3" x14ac:dyDescent="0.3">
      <c r="B4" t="s">
        <v>13</v>
      </c>
      <c r="C4" t="s">
        <v>9</v>
      </c>
    </row>
    <row r="5" spans="2:3" x14ac:dyDescent="0.3">
      <c r="B5" t="s">
        <v>14</v>
      </c>
      <c r="C5" t="s">
        <v>10</v>
      </c>
    </row>
    <row r="6" spans="2:3" x14ac:dyDescent="0.3">
      <c r="B6" t="s">
        <v>15</v>
      </c>
      <c r="C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9974-867E-4BCB-9BC2-798A77B1B05C}">
  <dimension ref="B2:C7"/>
  <sheetViews>
    <sheetView workbookViewId="0">
      <selection activeCell="E16" sqref="E16"/>
    </sheetView>
  </sheetViews>
  <sheetFormatPr defaultRowHeight="14.4" x14ac:dyDescent="0.3"/>
  <cols>
    <col min="2" max="3" width="18.77734375" customWidth="1"/>
  </cols>
  <sheetData>
    <row r="2" spans="2:3" x14ac:dyDescent="0.3">
      <c r="B2" s="1" t="s">
        <v>0</v>
      </c>
      <c r="C2" s="1" t="s">
        <v>1</v>
      </c>
    </row>
    <row r="3" spans="2:3" x14ac:dyDescent="0.3">
      <c r="B3" t="s">
        <v>6</v>
      </c>
      <c r="C3" t="s">
        <v>6</v>
      </c>
    </row>
    <row r="4" spans="2:3" x14ac:dyDescent="0.3">
      <c r="B4" t="s">
        <v>2</v>
      </c>
      <c r="C4" t="s">
        <v>2</v>
      </c>
    </row>
    <row r="5" spans="2:3" x14ac:dyDescent="0.3">
      <c r="B5" t="s">
        <v>3</v>
      </c>
      <c r="C5" t="s">
        <v>3</v>
      </c>
    </row>
    <row r="6" spans="2:3" x14ac:dyDescent="0.3">
      <c r="B6" t="s">
        <v>4</v>
      </c>
      <c r="C6" t="s">
        <v>4</v>
      </c>
    </row>
    <row r="7" spans="2:3" x14ac:dyDescent="0.3">
      <c r="B7" t="s">
        <v>5</v>
      </c>
      <c r="C7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4BCE-9721-4AF4-A014-7397985274A0}">
  <dimension ref="B2:D37"/>
  <sheetViews>
    <sheetView workbookViewId="0">
      <selection activeCell="F25" sqref="F25"/>
    </sheetView>
  </sheetViews>
  <sheetFormatPr defaultRowHeight="14.4" x14ac:dyDescent="0.3"/>
  <cols>
    <col min="2" max="4" width="18.77734375" style="1" customWidth="1"/>
  </cols>
  <sheetData>
    <row r="2" spans="2:4" x14ac:dyDescent="0.3">
      <c r="B2" s="1" t="s">
        <v>17</v>
      </c>
      <c r="C2" s="1" t="s">
        <v>53</v>
      </c>
      <c r="D2" s="1" t="s">
        <v>54</v>
      </c>
    </row>
    <row r="3" spans="2:4" x14ac:dyDescent="0.3">
      <c r="B3" s="1" t="s">
        <v>21</v>
      </c>
      <c r="C3" s="1">
        <v>0.18</v>
      </c>
      <c r="D3" s="1">
        <v>0.25</v>
      </c>
    </row>
    <row r="4" spans="2:4" x14ac:dyDescent="0.3">
      <c r="B4" s="1" t="s">
        <v>22</v>
      </c>
      <c r="C4" s="1">
        <v>0.25</v>
      </c>
      <c r="D4" s="1">
        <v>0.34</v>
      </c>
    </row>
    <row r="5" spans="2:4" x14ac:dyDescent="0.3">
      <c r="B5" s="1" t="s">
        <v>23</v>
      </c>
      <c r="C5" s="1">
        <v>0.37</v>
      </c>
      <c r="D5" s="1">
        <v>0.5</v>
      </c>
    </row>
    <row r="6" spans="2:4" x14ac:dyDescent="0.3">
      <c r="B6" s="1" t="s">
        <v>24</v>
      </c>
      <c r="C6" s="1">
        <v>0.55000000000000004</v>
      </c>
      <c r="D6" s="1">
        <v>0.75</v>
      </c>
    </row>
    <row r="7" spans="2:4" x14ac:dyDescent="0.3">
      <c r="B7" s="1" t="s">
        <v>25</v>
      </c>
      <c r="C7" s="1">
        <v>0.65</v>
      </c>
      <c r="D7" s="1">
        <v>0.9</v>
      </c>
    </row>
    <row r="8" spans="2:4" x14ac:dyDescent="0.3">
      <c r="B8" s="1" t="s">
        <v>18</v>
      </c>
      <c r="C8" s="1">
        <v>0.75</v>
      </c>
      <c r="D8" s="1">
        <v>1</v>
      </c>
    </row>
    <row r="9" spans="2:4" x14ac:dyDescent="0.3">
      <c r="B9" s="1" t="s">
        <v>19</v>
      </c>
      <c r="C9" s="1">
        <v>0.9</v>
      </c>
      <c r="D9" s="1">
        <v>1.25</v>
      </c>
    </row>
    <row r="10" spans="2:4" x14ac:dyDescent="0.3">
      <c r="B10" s="1" t="s">
        <v>26</v>
      </c>
      <c r="C10" s="1">
        <v>1</v>
      </c>
      <c r="D10" s="1">
        <v>1.34</v>
      </c>
    </row>
    <row r="11" spans="2:4" x14ac:dyDescent="0.3">
      <c r="B11" s="1" t="s">
        <v>19</v>
      </c>
      <c r="C11" s="1">
        <v>1.1000000000000001</v>
      </c>
      <c r="D11" s="1">
        <v>1.5</v>
      </c>
    </row>
    <row r="12" spans="2:4" x14ac:dyDescent="0.3">
      <c r="B12" s="1" t="s">
        <v>27</v>
      </c>
      <c r="C12" s="1">
        <v>1.2</v>
      </c>
      <c r="D12" s="1">
        <v>1.61</v>
      </c>
    </row>
    <row r="13" spans="2:4" x14ac:dyDescent="0.3">
      <c r="B13" s="1" t="s">
        <v>28</v>
      </c>
      <c r="C13" s="1">
        <v>1.3</v>
      </c>
      <c r="D13" s="1">
        <v>1.75</v>
      </c>
    </row>
    <row r="14" spans="2:4" x14ac:dyDescent="0.3">
      <c r="B14" s="1" t="s">
        <v>29</v>
      </c>
      <c r="C14" s="1">
        <v>1.5</v>
      </c>
      <c r="D14" s="1">
        <v>2</v>
      </c>
    </row>
    <row r="15" spans="2:4" x14ac:dyDescent="0.3">
      <c r="B15" s="1" t="s">
        <v>30</v>
      </c>
      <c r="C15" s="1">
        <v>1.85</v>
      </c>
      <c r="D15" s="1">
        <v>2.5</v>
      </c>
    </row>
    <row r="16" spans="2:4" x14ac:dyDescent="0.3">
      <c r="B16" s="1" t="s">
        <v>31</v>
      </c>
      <c r="C16" s="1">
        <v>2.2000000000000002</v>
      </c>
      <c r="D16" s="1">
        <v>3</v>
      </c>
    </row>
    <row r="17" spans="2:4" x14ac:dyDescent="0.3">
      <c r="B17" s="1" t="s">
        <v>32</v>
      </c>
      <c r="C17" s="1">
        <v>3</v>
      </c>
      <c r="D17" s="1">
        <v>4</v>
      </c>
    </row>
    <row r="18" spans="2:4" x14ac:dyDescent="0.3">
      <c r="B18" s="1" t="s">
        <v>33</v>
      </c>
      <c r="C18" s="1">
        <v>3.7</v>
      </c>
      <c r="D18" s="1">
        <v>5</v>
      </c>
    </row>
    <row r="19" spans="2:4" x14ac:dyDescent="0.3">
      <c r="B19" s="1" t="s">
        <v>34</v>
      </c>
      <c r="C19" s="1">
        <v>4</v>
      </c>
      <c r="D19" s="1">
        <v>5.5</v>
      </c>
    </row>
    <row r="20" spans="2:4" x14ac:dyDescent="0.3">
      <c r="B20" s="1" t="s">
        <v>35</v>
      </c>
      <c r="C20" s="1">
        <v>5.5</v>
      </c>
      <c r="D20" s="1">
        <v>7.5</v>
      </c>
    </row>
    <row r="21" spans="2:4" x14ac:dyDescent="0.3">
      <c r="B21" s="1" t="s">
        <v>36</v>
      </c>
      <c r="C21" s="1">
        <v>7.5</v>
      </c>
      <c r="D21" s="1">
        <v>10</v>
      </c>
    </row>
    <row r="22" spans="2:4" x14ac:dyDescent="0.3">
      <c r="B22" s="1" t="s">
        <v>37</v>
      </c>
      <c r="C22" s="1">
        <v>11</v>
      </c>
      <c r="D22" s="1">
        <v>15</v>
      </c>
    </row>
    <row r="23" spans="2:4" x14ac:dyDescent="0.3">
      <c r="B23" s="1" t="s">
        <v>38</v>
      </c>
      <c r="C23" s="1">
        <v>15</v>
      </c>
      <c r="D23" s="1">
        <v>20</v>
      </c>
    </row>
    <row r="24" spans="2:4" x14ac:dyDescent="0.3">
      <c r="B24" s="1" t="s">
        <v>39</v>
      </c>
      <c r="C24" s="1">
        <v>18.5</v>
      </c>
      <c r="D24" s="1">
        <v>25</v>
      </c>
    </row>
    <row r="25" spans="2:4" x14ac:dyDescent="0.3">
      <c r="B25" s="1" t="s">
        <v>40</v>
      </c>
      <c r="C25" s="1">
        <v>22</v>
      </c>
      <c r="D25" s="1">
        <v>30</v>
      </c>
    </row>
    <row r="26" spans="2:4" x14ac:dyDescent="0.3">
      <c r="B26" s="1" t="s">
        <v>41</v>
      </c>
      <c r="C26" s="1">
        <v>30</v>
      </c>
      <c r="D26" s="1">
        <v>40</v>
      </c>
    </row>
    <row r="27" spans="2:4" x14ac:dyDescent="0.3">
      <c r="B27" s="1" t="s">
        <v>42</v>
      </c>
      <c r="C27" s="1">
        <v>37</v>
      </c>
      <c r="D27" s="1">
        <v>50</v>
      </c>
    </row>
    <row r="28" spans="2:4" x14ac:dyDescent="0.3">
      <c r="B28" s="1" t="s">
        <v>43</v>
      </c>
      <c r="C28" s="1">
        <v>45</v>
      </c>
      <c r="D28" s="1">
        <v>60</v>
      </c>
    </row>
    <row r="29" spans="2:4" x14ac:dyDescent="0.3">
      <c r="B29" s="1" t="s">
        <v>44</v>
      </c>
      <c r="C29" s="1">
        <v>55</v>
      </c>
      <c r="D29" s="1">
        <v>75</v>
      </c>
    </row>
    <row r="30" spans="2:4" x14ac:dyDescent="0.3">
      <c r="B30" s="1" t="s">
        <v>45</v>
      </c>
      <c r="C30" s="1">
        <v>75</v>
      </c>
      <c r="D30" s="1">
        <v>100</v>
      </c>
    </row>
    <row r="31" spans="2:4" x14ac:dyDescent="0.3">
      <c r="B31" s="1" t="s">
        <v>46</v>
      </c>
      <c r="C31" s="1">
        <v>90</v>
      </c>
      <c r="D31" s="1">
        <v>125</v>
      </c>
    </row>
    <row r="32" spans="2:4" x14ac:dyDescent="0.3">
      <c r="B32" s="1" t="s">
        <v>47</v>
      </c>
      <c r="C32" s="1">
        <v>110</v>
      </c>
      <c r="D32" s="1">
        <v>150</v>
      </c>
    </row>
    <row r="33" spans="2:4" x14ac:dyDescent="0.3">
      <c r="B33" s="1" t="s">
        <v>48</v>
      </c>
      <c r="C33" s="1">
        <v>132</v>
      </c>
      <c r="D33" s="1">
        <v>175</v>
      </c>
    </row>
    <row r="34" spans="2:4" x14ac:dyDescent="0.3">
      <c r="B34" s="1" t="s">
        <v>49</v>
      </c>
      <c r="C34" s="1">
        <v>160</v>
      </c>
      <c r="D34" s="1">
        <v>215</v>
      </c>
    </row>
    <row r="35" spans="2:4" x14ac:dyDescent="0.3">
      <c r="B35" s="1" t="s">
        <v>50</v>
      </c>
      <c r="C35" s="1">
        <v>200</v>
      </c>
      <c r="D35" s="1">
        <v>270</v>
      </c>
    </row>
    <row r="36" spans="2:4" x14ac:dyDescent="0.3">
      <c r="B36" s="1" t="s">
        <v>51</v>
      </c>
      <c r="C36" s="1">
        <v>250</v>
      </c>
      <c r="D36" s="1">
        <v>335</v>
      </c>
    </row>
    <row r="37" spans="2:4" x14ac:dyDescent="0.3">
      <c r="B37" s="1" t="s">
        <v>52</v>
      </c>
      <c r="C37" s="1">
        <v>315</v>
      </c>
      <c r="D37" s="1">
        <v>420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BFD9-4993-4F19-9F5D-1FCBD795EA8F}">
  <dimension ref="B2:C4"/>
  <sheetViews>
    <sheetView workbookViewId="0">
      <selection activeCell="E24" sqref="E24"/>
    </sheetView>
  </sheetViews>
  <sheetFormatPr defaultRowHeight="14.4" x14ac:dyDescent="0.3"/>
  <cols>
    <col min="2" max="3" width="18.77734375" style="1" customWidth="1"/>
  </cols>
  <sheetData>
    <row r="2" spans="2:3" x14ac:dyDescent="0.3">
      <c r="B2" s="1" t="s">
        <v>106</v>
      </c>
      <c r="C2" s="1" t="s">
        <v>107</v>
      </c>
    </row>
    <row r="3" spans="2:3" x14ac:dyDescent="0.3">
      <c r="B3" s="1" t="s">
        <v>109</v>
      </c>
      <c r="C3" s="1" t="s">
        <v>109</v>
      </c>
    </row>
    <row r="4" spans="2:3" x14ac:dyDescent="0.3">
      <c r="B4" s="1" t="s">
        <v>108</v>
      </c>
      <c r="C4" s="1" t="s">
        <v>108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C17D-4AD9-4824-A38F-005626DE4D5E}">
  <dimension ref="B2:C4"/>
  <sheetViews>
    <sheetView workbookViewId="0">
      <selection activeCell="H26" sqref="H26"/>
    </sheetView>
  </sheetViews>
  <sheetFormatPr defaultRowHeight="14.4" x14ac:dyDescent="0.3"/>
  <cols>
    <col min="2" max="3" width="18.77734375" style="1" customWidth="1"/>
  </cols>
  <sheetData>
    <row r="2" spans="2:3" x14ac:dyDescent="0.3">
      <c r="B2" s="1" t="s">
        <v>104</v>
      </c>
      <c r="C2" s="1" t="s">
        <v>105</v>
      </c>
    </row>
    <row r="3" spans="2:3" x14ac:dyDescent="0.3">
      <c r="B3" s="1" t="s">
        <v>100</v>
      </c>
      <c r="C3" s="1" t="s">
        <v>103</v>
      </c>
    </row>
    <row r="4" spans="2:3" x14ac:dyDescent="0.3">
      <c r="B4" s="1" t="s">
        <v>101</v>
      </c>
      <c r="C4" s="1" t="s">
        <v>102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347F-8729-4E7B-9E02-DE1714E530B3}">
  <dimension ref="B2:C4"/>
  <sheetViews>
    <sheetView workbookViewId="0">
      <selection activeCell="O13" sqref="O13"/>
    </sheetView>
  </sheetViews>
  <sheetFormatPr defaultRowHeight="14.4" x14ac:dyDescent="0.3"/>
  <cols>
    <col min="2" max="3" width="18.77734375" style="1" customWidth="1"/>
  </cols>
  <sheetData>
    <row r="2" spans="2:3" x14ac:dyDescent="0.3">
      <c r="B2" s="1" t="s">
        <v>55</v>
      </c>
      <c r="C2" s="1" t="s">
        <v>56</v>
      </c>
    </row>
    <row r="3" spans="2:3" x14ac:dyDescent="0.3">
      <c r="B3" s="1" t="s">
        <v>57</v>
      </c>
      <c r="C3" s="1" t="s">
        <v>57</v>
      </c>
    </row>
    <row r="4" spans="2:3" x14ac:dyDescent="0.3">
      <c r="B4" s="1" t="s">
        <v>58</v>
      </c>
      <c r="C4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C88-EE95-42FC-92D7-820B16E34F7D}">
  <dimension ref="B1:L37"/>
  <sheetViews>
    <sheetView topLeftCell="C7" workbookViewId="0">
      <selection activeCell="L28" sqref="L28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1" width="18.77734375" style="1" customWidth="1"/>
  </cols>
  <sheetData>
    <row r="1" spans="2:12" x14ac:dyDescent="0.3">
      <c r="E1" s="1">
        <v>415</v>
      </c>
      <c r="F1" s="1">
        <v>240</v>
      </c>
    </row>
    <row r="2" spans="2:12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188</v>
      </c>
      <c r="L2" s="1" t="s">
        <v>191</v>
      </c>
    </row>
    <row r="3" spans="2:12" x14ac:dyDescent="0.3">
      <c r="B3" s="1">
        <v>0.25</v>
      </c>
      <c r="C3" s="1" t="s">
        <v>65</v>
      </c>
      <c r="D3" s="1">
        <v>2720</v>
      </c>
      <c r="E3" s="1">
        <v>0.48</v>
      </c>
      <c r="F3" s="1">
        <f>ROUNDUP(Motor_2P_IE1_T[[#This Row],[Rated FL Amp (415V)(3Ph)]]*((SQRT(3)*$E$1)/$F$1),1)</f>
        <v>1.5</v>
      </c>
      <c r="G3" s="1">
        <v>65</v>
      </c>
      <c r="H3" s="1" t="s">
        <v>20</v>
      </c>
      <c r="I3" s="1">
        <v>0.82</v>
      </c>
      <c r="J3" s="1" t="s">
        <v>20</v>
      </c>
      <c r="K3" s="1" t="s">
        <v>190</v>
      </c>
      <c r="L3" s="1" t="s">
        <v>190</v>
      </c>
    </row>
    <row r="4" spans="2:12" x14ac:dyDescent="0.3">
      <c r="B4" s="1">
        <v>0.34</v>
      </c>
      <c r="C4" s="1" t="s">
        <v>66</v>
      </c>
      <c r="D4" s="1">
        <v>2730</v>
      </c>
      <c r="E4" s="1">
        <v>0.77</v>
      </c>
      <c r="F4" s="1">
        <f>ROUNDUP(Motor_2P_IE1_T[[#This Row],[Rated FL Amp (415V)(3Ph)]]*((SQRT(3)*$E$1)/$F$1),1)</f>
        <v>2.4</v>
      </c>
      <c r="G4" s="1">
        <v>66</v>
      </c>
      <c r="H4" s="1" t="s">
        <v>20</v>
      </c>
      <c r="I4" s="1">
        <v>0.82</v>
      </c>
      <c r="J4" s="1" t="s">
        <v>20</v>
      </c>
      <c r="K4" s="1" t="s">
        <v>190</v>
      </c>
      <c r="L4" s="1" t="s">
        <v>190</v>
      </c>
    </row>
    <row r="5" spans="2:12" x14ac:dyDescent="0.3">
      <c r="B5" s="1">
        <v>0.5</v>
      </c>
      <c r="C5" s="1" t="s">
        <v>67</v>
      </c>
      <c r="D5" s="1">
        <v>2740</v>
      </c>
      <c r="E5" s="1">
        <v>0.9</v>
      </c>
      <c r="F5" s="1">
        <f>ROUNDUP(Motor_2P_IE1_T[[#This Row],[Rated FL Amp (415V)(3Ph)]]*((SQRT(3)*$E$1)/$F$1),1)</f>
        <v>2.7</v>
      </c>
      <c r="G5" s="1">
        <v>70</v>
      </c>
      <c r="H5" s="1" t="s">
        <v>20</v>
      </c>
      <c r="I5" s="1">
        <v>0.8</v>
      </c>
      <c r="J5" s="1" t="s">
        <v>20</v>
      </c>
      <c r="K5" s="1" t="s">
        <v>190</v>
      </c>
      <c r="L5" s="1" t="s">
        <v>190</v>
      </c>
    </row>
    <row r="6" spans="2:12" x14ac:dyDescent="0.3">
      <c r="B6" s="1">
        <v>0.75</v>
      </c>
      <c r="C6" s="1" t="s">
        <v>68</v>
      </c>
      <c r="D6" s="1">
        <v>2740</v>
      </c>
      <c r="E6" s="1">
        <v>1.27</v>
      </c>
      <c r="F6" s="1">
        <f>ROUNDUP(Motor_2P_IE1_T[[#This Row],[Rated FL Amp (415V)(3Ph)]]*((SQRT(3)*$E$1)/$F$1),1)</f>
        <v>3.9</v>
      </c>
      <c r="G6" s="1">
        <v>73</v>
      </c>
      <c r="H6" s="1" t="s">
        <v>20</v>
      </c>
      <c r="I6" s="1">
        <v>0.82</v>
      </c>
      <c r="J6" s="1" t="s">
        <v>20</v>
      </c>
      <c r="K6" s="1" t="s">
        <v>190</v>
      </c>
      <c r="L6" s="1" t="s">
        <v>190</v>
      </c>
    </row>
    <row r="7" spans="2:12" x14ac:dyDescent="0.3">
      <c r="B7" s="1">
        <v>0.9</v>
      </c>
      <c r="C7" s="1" t="s">
        <v>69</v>
      </c>
      <c r="D7" s="1">
        <v>2780</v>
      </c>
      <c r="E7" s="1">
        <v>1.4</v>
      </c>
      <c r="F7" s="1">
        <f>ROUNDUP(Motor_2P_IE1_T[[#This Row],[Rated FL Amp (415V)(3Ph)]]*((SQRT(3)*$E$1)/$F$1),1)</f>
        <v>4.1999999999999993</v>
      </c>
      <c r="G7" s="1">
        <v>73.8</v>
      </c>
      <c r="H7" s="1" t="s">
        <v>20</v>
      </c>
      <c r="I7" s="1">
        <v>0.82</v>
      </c>
      <c r="J7" s="1" t="s">
        <v>20</v>
      </c>
      <c r="K7" s="1" t="s">
        <v>190</v>
      </c>
      <c r="L7" s="1" t="s">
        <v>190</v>
      </c>
    </row>
    <row r="8" spans="2:12" x14ac:dyDescent="0.3">
      <c r="B8" s="1">
        <v>1</v>
      </c>
      <c r="C8" s="1" t="s">
        <v>70</v>
      </c>
      <c r="D8" s="1">
        <v>2840</v>
      </c>
      <c r="E8" s="1">
        <v>1.68</v>
      </c>
      <c r="F8" s="1">
        <f>ROUNDUP(Motor_2P_IE1_T[[#This Row],[Rated FL Amp (415V)(3Ph)]]*((SQRT(3)*$E$1)/$F$1),1)</f>
        <v>5.0999999999999996</v>
      </c>
      <c r="G8" s="1">
        <v>75</v>
      </c>
      <c r="H8" s="1" t="s">
        <v>20</v>
      </c>
      <c r="I8" s="1">
        <v>0.83</v>
      </c>
      <c r="J8" s="1" t="s">
        <v>20</v>
      </c>
      <c r="K8" s="1">
        <v>17</v>
      </c>
      <c r="L8" s="1" t="s">
        <v>192</v>
      </c>
    </row>
    <row r="9" spans="2:12" x14ac:dyDescent="0.3">
      <c r="B9" s="1">
        <v>1.25</v>
      </c>
      <c r="C9" s="1" t="s">
        <v>71</v>
      </c>
      <c r="D9" s="1">
        <v>2826</v>
      </c>
      <c r="E9" s="1">
        <v>2</v>
      </c>
      <c r="F9" s="1">
        <f>ROUNDUP(Motor_2P_IE1_T[[#This Row],[Rated FL Amp (415V)(3Ph)]]*((SQRT(3)*$E$1)/$F$1),1)</f>
        <v>6</v>
      </c>
      <c r="G9" s="1">
        <v>75.2</v>
      </c>
      <c r="H9" s="1" t="s">
        <v>20</v>
      </c>
      <c r="I9" s="1">
        <v>0.83</v>
      </c>
      <c r="J9" s="1" t="s">
        <v>20</v>
      </c>
      <c r="K9" s="1" t="s">
        <v>190</v>
      </c>
      <c r="L9" s="1" t="s">
        <v>190</v>
      </c>
    </row>
    <row r="10" spans="2:12" x14ac:dyDescent="0.3">
      <c r="B10" s="1">
        <v>1.34</v>
      </c>
      <c r="C10" s="1" t="s">
        <v>72</v>
      </c>
      <c r="D10" s="1">
        <v>2825</v>
      </c>
      <c r="E10" s="1">
        <v>2.1</v>
      </c>
      <c r="F10" s="1">
        <f>ROUNDUP(Motor_2P_IE1_T[[#This Row],[Rated FL Amp (415V)(3Ph)]]*((SQRT(3)*$E$1)/$F$1),1)</f>
        <v>6.3</v>
      </c>
      <c r="G10" s="1">
        <v>75.2</v>
      </c>
      <c r="H10" s="1" t="s">
        <v>20</v>
      </c>
      <c r="I10" s="1">
        <v>0.83</v>
      </c>
      <c r="J10" s="1" t="s">
        <v>20</v>
      </c>
      <c r="K10" s="1" t="s">
        <v>190</v>
      </c>
      <c r="L10" s="1" t="s">
        <v>190</v>
      </c>
    </row>
    <row r="11" spans="2:12" x14ac:dyDescent="0.3">
      <c r="B11" s="1">
        <v>1.5</v>
      </c>
      <c r="C11" s="1" t="s">
        <v>73</v>
      </c>
      <c r="D11" s="1">
        <v>2840</v>
      </c>
      <c r="E11" s="1">
        <v>2.39</v>
      </c>
      <c r="F11" s="1">
        <f>ROUNDUP(Motor_2P_IE1_T[[#This Row],[Rated FL Amp (415V)(3Ph)]]*((SQRT(3)*$E$1)/$F$1),1)</f>
        <v>7.1999999999999993</v>
      </c>
      <c r="G11" s="1">
        <v>76.2</v>
      </c>
      <c r="H11" s="1" t="s">
        <v>20</v>
      </c>
      <c r="I11" s="1">
        <v>0.84</v>
      </c>
      <c r="J11" s="1" t="s">
        <v>20</v>
      </c>
      <c r="K11" s="1">
        <v>18</v>
      </c>
      <c r="L11" s="1" t="s">
        <v>192</v>
      </c>
    </row>
    <row r="12" spans="2:12" ht="13.8" customHeight="1" x14ac:dyDescent="0.3">
      <c r="B12" s="1">
        <v>1.61</v>
      </c>
      <c r="C12" s="1" t="s">
        <v>74</v>
      </c>
      <c r="D12" s="1">
        <v>2830</v>
      </c>
      <c r="E12" s="1">
        <v>2.6</v>
      </c>
      <c r="F12" s="1">
        <f>ROUNDUP(Motor_2P_IE1_T[[#This Row],[Rated FL Amp (415V)(3Ph)]]*((SQRT(3)*$E$1)/$F$1),1)</f>
        <v>7.8</v>
      </c>
      <c r="G12" s="1">
        <v>76.3</v>
      </c>
      <c r="H12" s="1" t="s">
        <v>20</v>
      </c>
      <c r="I12" s="1">
        <v>0.84</v>
      </c>
      <c r="J12" s="1" t="s">
        <v>20</v>
      </c>
      <c r="K12" s="1" t="s">
        <v>190</v>
      </c>
      <c r="L12" s="1" t="s">
        <v>190</v>
      </c>
    </row>
    <row r="13" spans="2:12" x14ac:dyDescent="0.3">
      <c r="B13" s="1">
        <v>1.75</v>
      </c>
      <c r="C13" s="1" t="s">
        <v>75</v>
      </c>
      <c r="D13" s="1">
        <v>2840</v>
      </c>
      <c r="E13" s="1">
        <v>2.8</v>
      </c>
      <c r="F13" s="1">
        <f>ROUNDUP(Motor_2P_IE1_T[[#This Row],[Rated FL Amp (415V)(3Ph)]]*((SQRT(3)*$E$1)/$F$1),1)</f>
        <v>8.4</v>
      </c>
      <c r="G13" s="1">
        <v>77.5</v>
      </c>
      <c r="H13" s="1" t="s">
        <v>20</v>
      </c>
      <c r="I13" s="1">
        <v>0.84</v>
      </c>
      <c r="J13" s="1" t="s">
        <v>20</v>
      </c>
      <c r="K13" s="1" t="s">
        <v>190</v>
      </c>
      <c r="L13" s="1" t="s">
        <v>190</v>
      </c>
    </row>
    <row r="14" spans="2:12" x14ac:dyDescent="0.3">
      <c r="B14" s="1">
        <v>2</v>
      </c>
      <c r="C14" s="1" t="s">
        <v>76</v>
      </c>
      <c r="D14" s="1">
        <v>2840</v>
      </c>
      <c r="E14" s="1">
        <v>3.16</v>
      </c>
      <c r="F14" s="1">
        <f>ROUNDUP(Motor_2P_IE1_T[[#This Row],[Rated FL Amp (415V)(3Ph)]]*((SQRT(3)*$E$1)/$F$1),1)</f>
        <v>9.5</v>
      </c>
      <c r="G14" s="1">
        <v>78.5</v>
      </c>
      <c r="H14" s="1" t="s">
        <v>20</v>
      </c>
      <c r="I14" s="1">
        <v>0.84</v>
      </c>
      <c r="J14" s="1" t="s">
        <v>20</v>
      </c>
      <c r="K14" s="1">
        <v>22</v>
      </c>
      <c r="L14" s="1" t="s">
        <v>193</v>
      </c>
    </row>
    <row r="15" spans="2:12" x14ac:dyDescent="0.3">
      <c r="B15" s="1">
        <v>2.5</v>
      </c>
      <c r="C15" s="1" t="s">
        <v>77</v>
      </c>
      <c r="D15" s="1">
        <v>2840</v>
      </c>
      <c r="E15" s="1">
        <v>3.91</v>
      </c>
      <c r="F15" s="1">
        <f>ROUNDUP(Motor_2P_IE1_T[[#This Row],[Rated FL Amp (415V)(3Ph)]]*((SQRT(3)*$E$1)/$F$1),1)</f>
        <v>11.799999999999999</v>
      </c>
      <c r="G15" s="1">
        <v>78.599999999999994</v>
      </c>
      <c r="H15" s="1" t="s">
        <v>20</v>
      </c>
      <c r="I15" s="1">
        <v>0.84</v>
      </c>
      <c r="J15" s="1" t="s">
        <v>20</v>
      </c>
      <c r="K15" s="1" t="s">
        <v>190</v>
      </c>
      <c r="L15" s="1" t="s">
        <v>190</v>
      </c>
    </row>
    <row r="16" spans="2:12" x14ac:dyDescent="0.3">
      <c r="B16" s="1">
        <v>3</v>
      </c>
      <c r="C16" s="1" t="s">
        <v>78</v>
      </c>
      <c r="D16" s="1">
        <v>2855</v>
      </c>
      <c r="E16" s="1">
        <v>4.45</v>
      </c>
      <c r="F16" s="1">
        <f>ROUNDUP(Motor_2P_IE1_T[[#This Row],[Rated FL Amp (415V)(3Ph)]]*((SQRT(3)*$E$1)/$F$1),1)</f>
        <v>13.4</v>
      </c>
      <c r="G16" s="1">
        <v>81</v>
      </c>
      <c r="H16" s="1" t="s">
        <v>20</v>
      </c>
      <c r="I16" s="1">
        <v>0.85</v>
      </c>
      <c r="J16" s="1" t="s">
        <v>20</v>
      </c>
      <c r="K16" s="1">
        <v>25</v>
      </c>
      <c r="L16" s="1" t="s">
        <v>194</v>
      </c>
    </row>
    <row r="17" spans="2:12" x14ac:dyDescent="0.3">
      <c r="B17" s="1">
        <v>4</v>
      </c>
      <c r="C17" s="1" t="s">
        <v>79</v>
      </c>
      <c r="D17" s="1">
        <v>2860</v>
      </c>
      <c r="E17" s="1">
        <v>5.81</v>
      </c>
      <c r="F17" s="1">
        <f>ROUNDUP(Motor_2P_IE1_T[[#This Row],[Rated FL Amp (415V)(3Ph)]]*((SQRT(3)*$E$1)/$F$1),1)</f>
        <v>17.5</v>
      </c>
      <c r="G17" s="1">
        <v>82.6</v>
      </c>
      <c r="H17" s="1" t="s">
        <v>20</v>
      </c>
      <c r="I17" s="1">
        <v>0.87</v>
      </c>
      <c r="J17" s="1" t="s">
        <v>20</v>
      </c>
      <c r="K17" s="1">
        <v>28</v>
      </c>
      <c r="L17" s="1" t="s">
        <v>195</v>
      </c>
    </row>
    <row r="18" spans="2:12" x14ac:dyDescent="0.3">
      <c r="B18" s="1">
        <v>5</v>
      </c>
      <c r="C18" s="1" t="s">
        <v>80</v>
      </c>
      <c r="D18" s="1">
        <v>2880</v>
      </c>
      <c r="E18" s="1">
        <v>7.3</v>
      </c>
      <c r="F18" s="1">
        <f>ROUNDUP(Motor_2P_IE1_T[[#This Row],[Rated FL Amp (415V)(3Ph)]]*((SQRT(3)*$E$1)/$F$1),1)</f>
        <v>21.900000000000002</v>
      </c>
      <c r="G18" s="1">
        <v>84.4</v>
      </c>
      <c r="H18" s="1" t="s">
        <v>20</v>
      </c>
      <c r="I18" s="1">
        <v>0.88</v>
      </c>
      <c r="J18" s="1" t="s">
        <v>20</v>
      </c>
      <c r="K18" s="1" t="s">
        <v>190</v>
      </c>
      <c r="L18" s="1" t="s">
        <v>190</v>
      </c>
    </row>
    <row r="19" spans="2:12" x14ac:dyDescent="0.3">
      <c r="B19" s="1">
        <v>5.5</v>
      </c>
      <c r="C19" s="1" t="s">
        <v>81</v>
      </c>
      <c r="D19" s="1">
        <v>2880</v>
      </c>
      <c r="E19" s="1">
        <v>7.51</v>
      </c>
      <c r="F19" s="1">
        <f>ROUNDUP(Motor_2P_IE1_T[[#This Row],[Rated FL Amp (415V)(3Ph)]]*((SQRT(3)*$E$1)/$F$1),1)</f>
        <v>22.5</v>
      </c>
      <c r="G19" s="1">
        <v>84.2</v>
      </c>
      <c r="H19" s="1" t="s">
        <v>20</v>
      </c>
      <c r="I19" s="1">
        <v>0.88</v>
      </c>
      <c r="J19" s="1" t="s">
        <v>20</v>
      </c>
      <c r="K19" s="1">
        <v>45</v>
      </c>
      <c r="L19" s="1" t="s">
        <v>196</v>
      </c>
    </row>
    <row r="20" spans="2:12" x14ac:dyDescent="0.3">
      <c r="B20" s="1">
        <v>7.5</v>
      </c>
      <c r="C20" s="1" t="s">
        <v>82</v>
      </c>
      <c r="D20" s="1">
        <v>2900</v>
      </c>
      <c r="E20" s="1">
        <v>10.15</v>
      </c>
      <c r="F20" s="1">
        <f>ROUNDUP(Motor_2P_IE1_T[[#This Row],[Rated FL Amp (415V)(3Ph)]]*((SQRT(3)*$E$1)/$F$1),1)</f>
        <v>30.400000000000002</v>
      </c>
      <c r="G20" s="1">
        <v>85.7</v>
      </c>
      <c r="H20" s="1" t="s">
        <v>20</v>
      </c>
      <c r="I20" s="1">
        <v>0.88</v>
      </c>
      <c r="J20" s="1" t="s">
        <v>20</v>
      </c>
      <c r="K20" s="1">
        <v>59</v>
      </c>
      <c r="L20" s="1" t="s">
        <v>197</v>
      </c>
    </row>
    <row r="21" spans="2:12" x14ac:dyDescent="0.3">
      <c r="B21" s="1">
        <v>10</v>
      </c>
      <c r="C21" s="1" t="s">
        <v>83</v>
      </c>
      <c r="D21" s="1">
        <v>2900</v>
      </c>
      <c r="E21" s="1">
        <v>13.6</v>
      </c>
      <c r="F21" s="1">
        <f>ROUNDUP(Motor_2P_IE1_T[[#This Row],[Rated FL Amp (415V)(3Ph)]]*((SQRT(3)*$E$1)/$F$1),1)</f>
        <v>40.800000000000004</v>
      </c>
      <c r="G21" s="1">
        <v>87</v>
      </c>
      <c r="H21" s="1" t="s">
        <v>20</v>
      </c>
      <c r="I21" s="1">
        <v>0.88</v>
      </c>
      <c r="J21" s="1" t="s">
        <v>20</v>
      </c>
      <c r="K21" s="1">
        <v>64</v>
      </c>
      <c r="L21" s="1" t="s">
        <v>197</v>
      </c>
    </row>
    <row r="22" spans="2:12" x14ac:dyDescent="0.3">
      <c r="B22" s="1">
        <v>15</v>
      </c>
      <c r="C22" s="1" t="s">
        <v>84</v>
      </c>
      <c r="D22" s="1">
        <v>2930</v>
      </c>
      <c r="E22" s="1">
        <v>19.5</v>
      </c>
      <c r="F22" s="1">
        <f>ROUNDUP(Motor_2P_IE1_T[[#This Row],[Rated FL Amp (415V)(3Ph)]]*((SQRT(3)*$E$1)/$F$1),1)</f>
        <v>58.5</v>
      </c>
      <c r="G22" s="1">
        <v>88.4</v>
      </c>
      <c r="H22" s="1" t="s">
        <v>20</v>
      </c>
      <c r="I22" s="1">
        <v>0.89</v>
      </c>
      <c r="J22" s="1" t="s">
        <v>20</v>
      </c>
      <c r="K22" s="1">
        <v>109</v>
      </c>
      <c r="L22" s="1" t="s">
        <v>198</v>
      </c>
    </row>
    <row r="23" spans="2:12" x14ac:dyDescent="0.3">
      <c r="B23" s="1">
        <v>20</v>
      </c>
      <c r="C23" s="1" t="s">
        <v>85</v>
      </c>
      <c r="D23" s="1">
        <v>2930</v>
      </c>
      <c r="E23" s="1">
        <v>26.2</v>
      </c>
      <c r="F23" s="1">
        <f>ROUNDUP(Motor_2P_IE1_T[[#This Row],[Rated FL Amp (415V)(3Ph)]]*((SQRT(3)*$E$1)/$F$1),1)</f>
        <v>78.5</v>
      </c>
      <c r="G23" s="1">
        <v>89.4</v>
      </c>
      <c r="H23" s="1" t="s">
        <v>20</v>
      </c>
      <c r="I23" s="1">
        <v>0.89</v>
      </c>
      <c r="J23" s="1" t="s">
        <v>20</v>
      </c>
      <c r="K23" s="1">
        <v>121</v>
      </c>
      <c r="L23" s="1" t="s">
        <v>198</v>
      </c>
    </row>
    <row r="24" spans="2:12" x14ac:dyDescent="0.3">
      <c r="B24" s="1">
        <v>25</v>
      </c>
      <c r="C24" s="1" t="s">
        <v>86</v>
      </c>
      <c r="D24" s="1">
        <v>2930</v>
      </c>
      <c r="E24" s="1">
        <v>31.8</v>
      </c>
      <c r="F24" s="1">
        <f>ROUNDUP(Motor_2P_IE1_T[[#This Row],[Rated FL Amp (415V)(3Ph)]]*((SQRT(3)*$E$1)/$F$1),1)</f>
        <v>95.3</v>
      </c>
      <c r="G24" s="1">
        <v>90</v>
      </c>
      <c r="H24" s="1" t="s">
        <v>20</v>
      </c>
      <c r="I24" s="1">
        <v>0.9</v>
      </c>
      <c r="J24" s="1" t="s">
        <v>20</v>
      </c>
      <c r="K24" s="1">
        <v>136</v>
      </c>
      <c r="L24" s="1" t="s">
        <v>199</v>
      </c>
    </row>
    <row r="25" spans="2:12" x14ac:dyDescent="0.3">
      <c r="B25" s="1">
        <v>30</v>
      </c>
      <c r="C25" s="1" t="s">
        <v>87</v>
      </c>
      <c r="D25" s="1">
        <v>2940</v>
      </c>
      <c r="E25" s="1">
        <v>37.6</v>
      </c>
      <c r="F25" s="1">
        <f>ROUNDUP(Motor_2P_IE1_T[[#This Row],[Rated FL Amp (415V)(3Ph)]]*((SQRT(3)*$E$1)/$F$1),1)</f>
        <v>112.69999999999999</v>
      </c>
      <c r="G25" s="1">
        <v>90.5</v>
      </c>
      <c r="H25" s="1" t="s">
        <v>20</v>
      </c>
      <c r="I25" s="1">
        <v>0.9</v>
      </c>
      <c r="J25" s="1" t="s">
        <v>20</v>
      </c>
      <c r="K25" s="1">
        <v>180</v>
      </c>
      <c r="L25" s="1" t="s">
        <v>200</v>
      </c>
    </row>
    <row r="26" spans="2:12" x14ac:dyDescent="0.3">
      <c r="B26" s="1">
        <v>40</v>
      </c>
      <c r="C26" s="1" t="s">
        <v>88</v>
      </c>
      <c r="D26" s="1">
        <v>2950</v>
      </c>
      <c r="E26" s="1">
        <v>50.7</v>
      </c>
      <c r="F26" s="1">
        <f>ROUNDUP(Motor_2P_IE1_T[[#This Row],[Rated FL Amp (415V)(3Ph)]]*((SQRT(3)*$E$1)/$F$1),1)</f>
        <v>151.9</v>
      </c>
      <c r="G26" s="1">
        <v>91.4</v>
      </c>
      <c r="H26" s="1" t="s">
        <v>20</v>
      </c>
      <c r="I26" s="1">
        <v>0.9</v>
      </c>
      <c r="J26" s="1" t="s">
        <v>20</v>
      </c>
      <c r="K26" s="1">
        <v>246</v>
      </c>
      <c r="L26" s="1" t="s">
        <v>201</v>
      </c>
    </row>
    <row r="27" spans="2:12" x14ac:dyDescent="0.3">
      <c r="B27" s="1">
        <v>50</v>
      </c>
      <c r="C27" s="1" t="s">
        <v>89</v>
      </c>
      <c r="D27" s="1">
        <v>2950</v>
      </c>
      <c r="E27" s="1">
        <v>62.2</v>
      </c>
      <c r="F27" s="1">
        <f>ROUNDUP(Motor_2P_IE1_T[[#This Row],[Rated FL Amp (415V)(3Ph)]]*((SQRT(3)*$E$1)/$F$1),1)</f>
        <v>186.29999999999998</v>
      </c>
      <c r="G27" s="1">
        <v>92</v>
      </c>
      <c r="H27" s="1" t="s">
        <v>20</v>
      </c>
      <c r="I27" s="1">
        <v>0.9</v>
      </c>
      <c r="J27" s="1" t="s">
        <v>20</v>
      </c>
      <c r="K27" s="1">
        <v>256</v>
      </c>
      <c r="L27" s="1" t="s">
        <v>201</v>
      </c>
    </row>
    <row r="28" spans="2:12" x14ac:dyDescent="0.3">
      <c r="B28" s="1">
        <v>60</v>
      </c>
      <c r="C28" s="1" t="s">
        <v>90</v>
      </c>
      <c r="D28" s="1">
        <v>2960</v>
      </c>
      <c r="E28" s="1">
        <v>75.2</v>
      </c>
      <c r="F28" s="1">
        <f>ROUNDUP(Motor_2P_IE1_T[[#This Row],[Rated FL Amp (415V)(3Ph)]]*((SQRT(3)*$E$1)/$F$1),1)</f>
        <v>225.29999999999998</v>
      </c>
      <c r="G28" s="1">
        <v>92.5</v>
      </c>
      <c r="H28" s="1" t="s">
        <v>20</v>
      </c>
      <c r="I28" s="1">
        <v>0.9</v>
      </c>
      <c r="J28" s="1" t="s">
        <v>20</v>
      </c>
      <c r="K28" s="1">
        <v>328</v>
      </c>
      <c r="L28" s="1" t="s">
        <v>202</v>
      </c>
    </row>
    <row r="29" spans="2:12" x14ac:dyDescent="0.3">
      <c r="B29" s="1">
        <v>75</v>
      </c>
      <c r="C29" s="1" t="s">
        <v>91</v>
      </c>
      <c r="D29" s="1">
        <v>2970</v>
      </c>
      <c r="E29" s="1">
        <v>91.4</v>
      </c>
      <c r="F29" s="1">
        <f>ROUNDUP(Motor_2P_IE1_T[[#This Row],[Rated FL Amp (415V)(3Ph)]]*((SQRT(3)*$E$1)/$F$1),1)</f>
        <v>273.8</v>
      </c>
      <c r="G29" s="1">
        <v>93</v>
      </c>
      <c r="H29" s="1" t="s">
        <v>20</v>
      </c>
      <c r="I29" s="1">
        <v>0.9</v>
      </c>
      <c r="J29" s="1" t="s">
        <v>20</v>
      </c>
      <c r="K29" s="1">
        <v>433</v>
      </c>
      <c r="L29" s="1" t="s">
        <v>203</v>
      </c>
    </row>
    <row r="30" spans="2:12" x14ac:dyDescent="0.3">
      <c r="B30" s="1">
        <v>100</v>
      </c>
      <c r="C30" s="1" t="s">
        <v>92</v>
      </c>
      <c r="D30" s="1">
        <v>2975</v>
      </c>
      <c r="E30" s="1">
        <v>124</v>
      </c>
      <c r="F30" s="1">
        <f>ROUNDUP(Motor_2P_IE1_T[[#This Row],[Rated FL Amp (415V)(3Ph)]]*((SQRT(3)*$E$1)/$F$1),1)</f>
        <v>371.40000000000003</v>
      </c>
      <c r="G30" s="1">
        <v>93.6</v>
      </c>
      <c r="H30" s="1" t="s">
        <v>20</v>
      </c>
      <c r="I30" s="1">
        <v>0.9</v>
      </c>
      <c r="J30" s="1" t="s">
        <v>20</v>
      </c>
      <c r="K30" s="1">
        <v>572</v>
      </c>
      <c r="L30" s="1" t="s">
        <v>204</v>
      </c>
    </row>
    <row r="31" spans="2:12" x14ac:dyDescent="0.3">
      <c r="B31" s="1">
        <v>125</v>
      </c>
      <c r="C31" s="1" t="s">
        <v>93</v>
      </c>
      <c r="D31" s="1">
        <v>2975</v>
      </c>
      <c r="E31" s="1">
        <v>147</v>
      </c>
      <c r="F31" s="1">
        <f>ROUNDUP(Motor_2P_IE1_T[[#This Row],[Rated FL Amp (415V)(3Ph)]]*((SQRT(3)*$E$1)/$F$1),1)</f>
        <v>440.3</v>
      </c>
      <c r="G31" s="1">
        <v>93.9</v>
      </c>
      <c r="H31" s="1" t="s">
        <v>20</v>
      </c>
      <c r="I31" s="1">
        <v>0.91</v>
      </c>
      <c r="J31" s="1" t="s">
        <v>20</v>
      </c>
      <c r="K31" s="1">
        <v>632</v>
      </c>
      <c r="L31" s="1" t="s">
        <v>205</v>
      </c>
    </row>
    <row r="32" spans="2:12" x14ac:dyDescent="0.3">
      <c r="B32" s="1">
        <v>150</v>
      </c>
      <c r="C32" s="1" t="s">
        <v>94</v>
      </c>
      <c r="D32" s="1">
        <v>2975</v>
      </c>
      <c r="E32" s="1">
        <v>179</v>
      </c>
      <c r="F32" s="1">
        <f>ROUNDUP(Motor_2P_IE1_T[[#This Row],[Rated FL Amp (415V)(3Ph)]]*((SQRT(3)*$E$1)/$F$1),1)</f>
        <v>536.20000000000005</v>
      </c>
      <c r="G32" s="1">
        <v>94</v>
      </c>
      <c r="H32" s="1" t="s">
        <v>20</v>
      </c>
      <c r="I32" s="1">
        <v>0.91</v>
      </c>
      <c r="J32" s="1" t="s">
        <v>20</v>
      </c>
      <c r="K32" s="1">
        <v>950</v>
      </c>
      <c r="L32" s="1" t="s">
        <v>206</v>
      </c>
    </row>
    <row r="33" spans="2:12" x14ac:dyDescent="0.3">
      <c r="B33" s="1">
        <v>175</v>
      </c>
      <c r="C33" s="1" t="s">
        <v>95</v>
      </c>
      <c r="D33" s="1">
        <v>2975</v>
      </c>
      <c r="E33" s="1">
        <v>214</v>
      </c>
      <c r="F33" s="1">
        <f>ROUNDUP(Motor_2P_IE1_T[[#This Row],[Rated FL Amp (415V)(3Ph)]]*((SQRT(3)*$E$1)/$F$1),1)</f>
        <v>641</v>
      </c>
      <c r="G33" s="1">
        <v>94.5</v>
      </c>
      <c r="H33" s="1" t="s">
        <v>20</v>
      </c>
      <c r="I33" s="1">
        <v>0.91</v>
      </c>
      <c r="J33" s="1" t="s">
        <v>20</v>
      </c>
      <c r="K33" s="1">
        <v>1080</v>
      </c>
      <c r="L33" s="1" t="s">
        <v>207</v>
      </c>
    </row>
    <row r="34" spans="2:12" x14ac:dyDescent="0.3">
      <c r="B34" s="1">
        <v>215</v>
      </c>
      <c r="C34" s="1" t="s">
        <v>96</v>
      </c>
      <c r="D34" s="1">
        <v>2975</v>
      </c>
      <c r="E34" s="1">
        <v>256</v>
      </c>
      <c r="F34" s="1">
        <f>ROUNDUP(Motor_2P_IE1_T[[#This Row],[Rated FL Amp (415V)(3Ph)]]*((SQRT(3)*$E$1)/$F$1),1)</f>
        <v>766.80000000000007</v>
      </c>
      <c r="G34" s="1">
        <v>94.6</v>
      </c>
      <c r="H34" s="1" t="s">
        <v>20</v>
      </c>
      <c r="I34" s="1">
        <v>0.92</v>
      </c>
      <c r="J34" s="1" t="s">
        <v>20</v>
      </c>
      <c r="K34" s="1">
        <v>1210</v>
      </c>
      <c r="L34" s="1" t="s">
        <v>208</v>
      </c>
    </row>
    <row r="35" spans="2:12" x14ac:dyDescent="0.3">
      <c r="B35" s="1">
        <v>270</v>
      </c>
      <c r="C35" s="1" t="s">
        <v>97</v>
      </c>
      <c r="D35" s="1">
        <v>2975</v>
      </c>
      <c r="E35" s="1">
        <v>319</v>
      </c>
      <c r="F35" s="1">
        <f>ROUNDUP(Motor_2P_IE1_T[[#This Row],[Rated FL Amp (415V)(3Ph)]]*((SQRT(3)*$E$1)/$F$1),1)</f>
        <v>955.5</v>
      </c>
      <c r="G35" s="1">
        <v>94.8</v>
      </c>
      <c r="H35" s="1" t="s">
        <v>20</v>
      </c>
      <c r="I35" s="1">
        <v>0.92</v>
      </c>
      <c r="J35" s="1" t="s">
        <v>20</v>
      </c>
      <c r="K35" s="1">
        <v>1240</v>
      </c>
      <c r="L35" s="1" t="s">
        <v>208</v>
      </c>
    </row>
    <row r="36" spans="2:12" x14ac:dyDescent="0.3">
      <c r="B36" s="1">
        <v>335</v>
      </c>
      <c r="C36" s="1" t="s">
        <v>98</v>
      </c>
      <c r="D36" s="1">
        <v>2980</v>
      </c>
      <c r="E36" s="1">
        <v>397</v>
      </c>
      <c r="F36" s="1">
        <f>ROUNDUP(Motor_2P_IE1_T[[#This Row],[Rated FL Amp (415V)(3Ph)]]*((SQRT(3)*$E$1)/$F$1),1)</f>
        <v>1189.0999999999999</v>
      </c>
      <c r="G36" s="1">
        <v>95.2</v>
      </c>
      <c r="H36" s="1" t="s">
        <v>20</v>
      </c>
      <c r="I36" s="1">
        <v>0.92</v>
      </c>
      <c r="J36" s="1" t="s">
        <v>20</v>
      </c>
      <c r="K36" s="1">
        <v>1970</v>
      </c>
      <c r="L36" s="1" t="s">
        <v>209</v>
      </c>
    </row>
    <row r="37" spans="2:12" x14ac:dyDescent="0.3">
      <c r="B37" s="1">
        <v>420</v>
      </c>
      <c r="C37" s="1" t="s">
        <v>99</v>
      </c>
      <c r="D37" s="1">
        <v>2980</v>
      </c>
      <c r="E37" s="1">
        <v>499</v>
      </c>
      <c r="F37" s="1">
        <f>ROUNDUP(Motor_2P_IE1_T[[#This Row],[Rated FL Amp (415V)(3Ph)]]*((SQRT(3)*$E$1)/$F$1),1)</f>
        <v>1494.6</v>
      </c>
      <c r="G37" s="1">
        <v>95.4</v>
      </c>
      <c r="H37" s="1" t="s">
        <v>20</v>
      </c>
      <c r="I37" s="1">
        <v>0.92</v>
      </c>
      <c r="J37" s="1" t="s">
        <v>20</v>
      </c>
      <c r="K37" s="1">
        <v>2000</v>
      </c>
      <c r="L37" s="1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B84D-A2F2-4C31-9E79-637F88D5C35F}">
  <dimension ref="B1:L27"/>
  <sheetViews>
    <sheetView tabSelected="1" topLeftCell="B1" workbookViewId="0">
      <selection activeCell="C20" sqref="C20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</cols>
  <sheetData>
    <row r="1" spans="2:12" x14ac:dyDescent="0.3">
      <c r="E1" s="1">
        <v>415</v>
      </c>
      <c r="F1" s="1">
        <v>240</v>
      </c>
    </row>
    <row r="2" spans="2:12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188</v>
      </c>
      <c r="L2" s="1" t="s">
        <v>466</v>
      </c>
    </row>
    <row r="3" spans="2:12" x14ac:dyDescent="0.3">
      <c r="B3" s="1">
        <v>0.75</v>
      </c>
      <c r="C3" s="1" t="s">
        <v>162</v>
      </c>
      <c r="D3" s="1">
        <v>1390</v>
      </c>
      <c r="E3" s="1">
        <v>1.49</v>
      </c>
      <c r="F3" s="1">
        <f>ROUNDUP(Motor_4P_IE1_T[[#This Row],[Rated FL Amp (415V)(3Ph)]]*((SQRT(3)*$E$1)/$F$1),1)</f>
        <v>4.5</v>
      </c>
      <c r="G3" s="1">
        <v>71</v>
      </c>
      <c r="H3" s="1" t="s">
        <v>20</v>
      </c>
      <c r="I3" s="1">
        <v>0.75</v>
      </c>
      <c r="J3" s="1" t="s">
        <v>20</v>
      </c>
      <c r="K3" s="1">
        <v>11.3</v>
      </c>
      <c r="L3" s="1" t="s">
        <v>239</v>
      </c>
    </row>
    <row r="4" spans="2:12" x14ac:dyDescent="0.3">
      <c r="B4" s="1">
        <v>1</v>
      </c>
      <c r="C4" s="1" t="s">
        <v>163</v>
      </c>
      <c r="D4" s="1">
        <v>1390</v>
      </c>
      <c r="E4" s="1">
        <v>1.95</v>
      </c>
      <c r="F4" s="1">
        <f>ROUNDUP(Motor_4P_IE1_T[[#This Row],[Rated FL Amp (415V)(3Ph)]]*((SQRT(3)*$E$1)/$F$1),1)</f>
        <v>5.8999999999999995</v>
      </c>
      <c r="G4" s="1">
        <v>73</v>
      </c>
      <c r="H4" s="1" t="s">
        <v>20</v>
      </c>
      <c r="I4" s="1">
        <v>0.76</v>
      </c>
      <c r="J4" s="1" t="s">
        <v>20</v>
      </c>
      <c r="K4" s="1">
        <v>17</v>
      </c>
      <c r="L4" s="1" t="s">
        <v>239</v>
      </c>
    </row>
    <row r="5" spans="2:12" x14ac:dyDescent="0.3">
      <c r="B5" s="1">
        <v>1.5</v>
      </c>
      <c r="C5" s="1" t="s">
        <v>164</v>
      </c>
      <c r="D5" s="1">
        <v>1390</v>
      </c>
      <c r="E5" s="1">
        <v>2.71</v>
      </c>
      <c r="F5" s="1">
        <f>ROUNDUP(Motor_4P_IE1_T[[#This Row],[Rated FL Amp (415V)(3Ph)]]*((SQRT(3)*$E$1)/$F$1),1)</f>
        <v>8.1999999999999993</v>
      </c>
      <c r="G5" s="1">
        <v>76.2</v>
      </c>
      <c r="H5" s="1" t="s">
        <v>20</v>
      </c>
      <c r="I5" s="1">
        <v>0.77</v>
      </c>
      <c r="J5" s="1" t="s">
        <v>20</v>
      </c>
      <c r="K5" s="1">
        <v>18</v>
      </c>
      <c r="L5" s="1" t="s">
        <v>240</v>
      </c>
    </row>
    <row r="6" spans="2:12" x14ac:dyDescent="0.3">
      <c r="B6" s="1">
        <v>2</v>
      </c>
      <c r="C6" s="1" t="s">
        <v>165</v>
      </c>
      <c r="D6" s="1">
        <v>1400</v>
      </c>
      <c r="E6" s="1">
        <v>3.54</v>
      </c>
      <c r="F6" s="1">
        <f>ROUNDUP(Motor_4P_IE1_T[[#This Row],[Rated FL Amp (415V)(3Ph)]]*((SQRT(3)*$E$1)/$F$1),1)</f>
        <v>10.7</v>
      </c>
      <c r="G6" s="1">
        <v>78.5</v>
      </c>
      <c r="H6" s="1" t="s">
        <v>20</v>
      </c>
      <c r="I6" s="1">
        <v>0.78</v>
      </c>
      <c r="J6" s="1" t="s">
        <v>20</v>
      </c>
      <c r="K6" s="1">
        <v>22</v>
      </c>
      <c r="L6" s="1" t="s">
        <v>241</v>
      </c>
    </row>
    <row r="7" spans="2:12" x14ac:dyDescent="0.3">
      <c r="B7" s="1">
        <v>3</v>
      </c>
      <c r="C7" s="1" t="s">
        <v>166</v>
      </c>
      <c r="D7" s="1">
        <v>1410</v>
      </c>
      <c r="E7" s="1">
        <v>4.9000000000000004</v>
      </c>
      <c r="F7" s="1">
        <f>ROUNDUP(Motor_4P_IE1_T[[#This Row],[Rated FL Amp (415V)(3Ph)]]*((SQRT(3)*$E$1)/$F$1),1)</f>
        <v>14.7</v>
      </c>
      <c r="G7" s="1">
        <v>81</v>
      </c>
      <c r="H7" s="1" t="s">
        <v>20</v>
      </c>
      <c r="I7" s="1">
        <v>0.81</v>
      </c>
      <c r="J7" s="1" t="s">
        <v>20</v>
      </c>
      <c r="K7" s="1">
        <v>25</v>
      </c>
      <c r="L7" s="1" t="s">
        <v>242</v>
      </c>
    </row>
    <row r="8" spans="2:12" x14ac:dyDescent="0.3">
      <c r="B8" s="1">
        <v>4</v>
      </c>
      <c r="C8" s="1" t="s">
        <v>167</v>
      </c>
      <c r="D8" s="1">
        <v>1410</v>
      </c>
      <c r="E8" s="1">
        <v>6.39</v>
      </c>
      <c r="F8" s="1">
        <f>ROUNDUP(Motor_4P_IE1_T[[#This Row],[Rated FL Amp (415V)(3Ph)]]*((SQRT(3)*$E$1)/$F$1),1)</f>
        <v>19.200000000000003</v>
      </c>
      <c r="G8" s="1">
        <v>82.6</v>
      </c>
      <c r="H8" s="1" t="s">
        <v>20</v>
      </c>
      <c r="I8" s="1">
        <v>0.82</v>
      </c>
      <c r="J8" s="1" t="s">
        <v>20</v>
      </c>
      <c r="K8" s="1">
        <v>28</v>
      </c>
      <c r="L8" s="1" t="s">
        <v>242</v>
      </c>
    </row>
    <row r="9" spans="2:12" x14ac:dyDescent="0.3">
      <c r="B9" s="1">
        <v>5.5</v>
      </c>
      <c r="C9" s="1" t="s">
        <v>168</v>
      </c>
      <c r="D9" s="1">
        <v>1435</v>
      </c>
      <c r="E9" s="1">
        <v>8.36</v>
      </c>
      <c r="F9" s="1">
        <f>ROUNDUP(Motor_4P_IE1_T[[#This Row],[Rated FL Amp (415V)(3Ph)]]*((SQRT(3)*$E$1)/$F$1),1)</f>
        <v>25.1</v>
      </c>
      <c r="G9" s="1">
        <v>84.2</v>
      </c>
      <c r="H9" s="1" t="s">
        <v>20</v>
      </c>
      <c r="I9" s="1">
        <v>0.82</v>
      </c>
      <c r="J9" s="1" t="s">
        <v>20</v>
      </c>
      <c r="K9" s="1">
        <v>43</v>
      </c>
      <c r="L9" s="1" t="s">
        <v>243</v>
      </c>
    </row>
    <row r="10" spans="2:12" x14ac:dyDescent="0.3">
      <c r="B10" s="1">
        <v>7.5</v>
      </c>
      <c r="C10" s="1" t="s">
        <v>169</v>
      </c>
      <c r="D10" s="1">
        <v>1440</v>
      </c>
      <c r="E10" s="1">
        <v>11.2</v>
      </c>
      <c r="F10" s="1">
        <f>ROUNDUP(Motor_4P_IE1_T[[#This Row],[Rated FL Amp (415V)(3Ph)]]*((SQRT(3)*$E$1)/$F$1),1)</f>
        <v>33.6</v>
      </c>
      <c r="G10" s="1">
        <v>85.7</v>
      </c>
      <c r="H10" s="1" t="s">
        <v>20</v>
      </c>
      <c r="I10" s="1">
        <v>0.83</v>
      </c>
      <c r="J10" s="1" t="s">
        <v>20</v>
      </c>
      <c r="K10" s="1">
        <v>65</v>
      </c>
      <c r="L10" s="1" t="s">
        <v>244</v>
      </c>
    </row>
    <row r="11" spans="2:12" x14ac:dyDescent="0.3">
      <c r="B11" s="1">
        <v>10</v>
      </c>
      <c r="C11" s="1" t="s">
        <v>170</v>
      </c>
      <c r="D11" s="1">
        <v>1450</v>
      </c>
      <c r="E11" s="1">
        <v>14.8</v>
      </c>
      <c r="F11" s="1">
        <f>ROUNDUP(Motor_4P_IE1_T[[#This Row],[Rated FL Amp (415V)(3Ph)]]*((SQRT(3)*$E$1)/$F$1),1)</f>
        <v>44.4</v>
      </c>
      <c r="G11" s="1">
        <v>87</v>
      </c>
      <c r="H11" s="1" t="s">
        <v>20</v>
      </c>
      <c r="I11" s="1">
        <v>0.84</v>
      </c>
      <c r="J11" s="1" t="s">
        <v>20</v>
      </c>
      <c r="K11" s="1">
        <v>78</v>
      </c>
      <c r="L11" s="1" t="s">
        <v>246</v>
      </c>
    </row>
    <row r="12" spans="2:12" x14ac:dyDescent="0.3">
      <c r="B12" s="1">
        <v>15</v>
      </c>
      <c r="C12" s="1" t="s">
        <v>171</v>
      </c>
      <c r="D12" s="1">
        <v>1460</v>
      </c>
      <c r="E12" s="1">
        <v>21.4</v>
      </c>
      <c r="F12" s="1">
        <f>ROUNDUP(Motor_4P_IE1_T[[#This Row],[Rated FL Amp (415V)(3Ph)]]*((SQRT(3)*$E$1)/$F$1),1)</f>
        <v>64.099999999999994</v>
      </c>
      <c r="G12" s="1">
        <v>88.4</v>
      </c>
      <c r="H12" s="1" t="s">
        <v>20</v>
      </c>
      <c r="I12" s="1">
        <v>0.84</v>
      </c>
      <c r="J12" s="1" t="s">
        <v>20</v>
      </c>
      <c r="K12" s="1">
        <v>118</v>
      </c>
      <c r="L12" s="1" t="s">
        <v>245</v>
      </c>
    </row>
    <row r="13" spans="2:12" x14ac:dyDescent="0.3">
      <c r="B13" s="1">
        <v>20</v>
      </c>
      <c r="C13" s="1" t="s">
        <v>172</v>
      </c>
      <c r="D13" s="1">
        <v>1460</v>
      </c>
      <c r="E13" s="1">
        <v>28.5</v>
      </c>
      <c r="F13" s="1">
        <f>ROUNDUP(Motor_4P_IE1_T[[#This Row],[Rated FL Amp (415V)(3Ph)]]*((SQRT(3)*$E$1)/$F$1),1)</f>
        <v>85.399999999999991</v>
      </c>
      <c r="G13" s="1">
        <v>89.4</v>
      </c>
      <c r="H13" s="1" t="s">
        <v>20</v>
      </c>
      <c r="I13" s="1">
        <v>0.85</v>
      </c>
      <c r="J13" s="1" t="s">
        <v>20</v>
      </c>
      <c r="K13" s="1">
        <v>138</v>
      </c>
      <c r="L13" s="1" t="s">
        <v>247</v>
      </c>
    </row>
    <row r="14" spans="2:12" x14ac:dyDescent="0.3">
      <c r="B14" s="1">
        <v>25</v>
      </c>
      <c r="C14" s="1" t="s">
        <v>173</v>
      </c>
      <c r="D14" s="1">
        <v>1470</v>
      </c>
      <c r="E14" s="1">
        <v>34.5</v>
      </c>
      <c r="F14" s="1">
        <f>ROUNDUP(Motor_4P_IE1_T[[#This Row],[Rated FL Amp (415V)(3Ph)]]*((SQRT(3)*$E$1)/$F$1),1)</f>
        <v>103.39999999999999</v>
      </c>
      <c r="G14" s="1">
        <v>90</v>
      </c>
      <c r="H14" s="1" t="s">
        <v>20</v>
      </c>
      <c r="I14" s="1">
        <v>0.86</v>
      </c>
      <c r="J14" s="1" t="s">
        <v>20</v>
      </c>
      <c r="K14" s="1">
        <v>177</v>
      </c>
      <c r="L14" s="1" t="s">
        <v>248</v>
      </c>
    </row>
    <row r="15" spans="2:12" x14ac:dyDescent="0.3">
      <c r="B15" s="1">
        <v>30</v>
      </c>
      <c r="C15" s="1" t="s">
        <v>174</v>
      </c>
      <c r="D15" s="1">
        <v>1470</v>
      </c>
      <c r="E15" s="1">
        <v>40.799999999999997</v>
      </c>
      <c r="F15" s="1">
        <f>ROUNDUP(Motor_4P_IE1_T[[#This Row],[Rated FL Amp (415V)(3Ph)]]*((SQRT(3)*$E$1)/$F$1),1)</f>
        <v>122.19999999999999</v>
      </c>
      <c r="G15" s="1">
        <v>90.5</v>
      </c>
      <c r="H15" s="1" t="s">
        <v>20</v>
      </c>
      <c r="I15" s="1">
        <v>0.86</v>
      </c>
      <c r="J15" s="1" t="s">
        <v>20</v>
      </c>
      <c r="K15" s="1">
        <v>203</v>
      </c>
      <c r="L15" s="1" t="s">
        <v>249</v>
      </c>
    </row>
    <row r="16" spans="2:12" x14ac:dyDescent="0.3">
      <c r="B16" s="1">
        <v>40</v>
      </c>
      <c r="C16" s="1" t="s">
        <v>175</v>
      </c>
      <c r="D16" s="1">
        <v>1470</v>
      </c>
      <c r="E16" s="1">
        <v>55.1</v>
      </c>
      <c r="F16" s="1">
        <f>ROUNDUP(Motor_4P_IE1_T[[#This Row],[Rated FL Amp (415V)(3Ph)]]*((SQRT(3)*$E$1)/$F$1),1)</f>
        <v>165.1</v>
      </c>
      <c r="G16" s="1">
        <v>91.4</v>
      </c>
      <c r="H16" s="1" t="s">
        <v>20</v>
      </c>
      <c r="I16" s="1">
        <v>0.86</v>
      </c>
      <c r="J16" s="1" t="s">
        <v>20</v>
      </c>
      <c r="K16" s="1">
        <v>243</v>
      </c>
      <c r="L16" s="1" t="s">
        <v>250</v>
      </c>
    </row>
    <row r="17" spans="2:12" x14ac:dyDescent="0.3">
      <c r="B17" s="1">
        <v>50</v>
      </c>
      <c r="C17" s="1" t="s">
        <v>176</v>
      </c>
      <c r="D17" s="1">
        <v>1475</v>
      </c>
      <c r="E17" s="1">
        <v>66.7</v>
      </c>
      <c r="F17" s="1">
        <f>ROUNDUP(Motor_4P_IE1_T[[#This Row],[Rated FL Amp (415V)(3Ph)]]*((SQRT(3)*$E$1)/$F$1),1)</f>
        <v>199.79999999999998</v>
      </c>
      <c r="G17" s="1">
        <v>92</v>
      </c>
      <c r="H17" s="1" t="s">
        <v>20</v>
      </c>
      <c r="I17" s="1">
        <v>0.87</v>
      </c>
      <c r="J17" s="1" t="s">
        <v>20</v>
      </c>
      <c r="K17" s="1">
        <v>305</v>
      </c>
      <c r="L17" s="1" t="s">
        <v>251</v>
      </c>
    </row>
    <row r="18" spans="2:12" x14ac:dyDescent="0.3">
      <c r="B18" s="1">
        <v>60</v>
      </c>
      <c r="C18" s="1" t="s">
        <v>177</v>
      </c>
      <c r="D18" s="1">
        <v>1475</v>
      </c>
      <c r="E18" s="1">
        <v>80.7</v>
      </c>
      <c r="F18" s="1">
        <f>ROUNDUP(Motor_4P_IE1_T[[#This Row],[Rated FL Amp (415V)(3Ph)]]*((SQRT(3)*$E$1)/$F$1),1)</f>
        <v>241.7</v>
      </c>
      <c r="G18" s="1">
        <v>92.5</v>
      </c>
      <c r="H18" s="1" t="s">
        <v>20</v>
      </c>
      <c r="I18" s="1">
        <v>0.87</v>
      </c>
      <c r="J18" s="1" t="s">
        <v>20</v>
      </c>
      <c r="K18" s="1">
        <v>328</v>
      </c>
      <c r="L18" s="1" t="s">
        <v>252</v>
      </c>
    </row>
    <row r="19" spans="2:12" x14ac:dyDescent="0.3">
      <c r="B19" s="1">
        <v>75</v>
      </c>
      <c r="C19" s="1" t="s">
        <v>178</v>
      </c>
      <c r="D19" s="1">
        <v>1480</v>
      </c>
      <c r="E19" s="1">
        <v>98.1</v>
      </c>
      <c r="F19" s="1">
        <f>ROUNDUP(Motor_4P_IE1_T[[#This Row],[Rated FL Amp (415V)(3Ph)]]*((SQRT(3)*$E$1)/$F$1),1)</f>
        <v>293.90000000000003</v>
      </c>
      <c r="G19" s="1">
        <v>93</v>
      </c>
      <c r="H19" s="1" t="s">
        <v>20</v>
      </c>
      <c r="I19" s="1">
        <v>0.87</v>
      </c>
      <c r="J19" s="1" t="s">
        <v>20</v>
      </c>
      <c r="K19" s="1">
        <v>452</v>
      </c>
      <c r="L19" s="1" t="s">
        <v>253</v>
      </c>
    </row>
    <row r="20" spans="2:12" x14ac:dyDescent="0.3">
      <c r="B20" s="1">
        <v>100</v>
      </c>
      <c r="C20" s="1" t="s">
        <v>179</v>
      </c>
      <c r="D20" s="1">
        <v>1480</v>
      </c>
      <c r="E20" s="1">
        <v>131</v>
      </c>
      <c r="F20" s="1">
        <f>ROUNDUP(Motor_4P_IE1_T[[#This Row],[Rated FL Amp (415V)(3Ph)]]*((SQRT(3)*$E$1)/$F$1),1)</f>
        <v>392.40000000000003</v>
      </c>
      <c r="G20" s="1">
        <v>93.6</v>
      </c>
      <c r="H20" s="1" t="s">
        <v>20</v>
      </c>
      <c r="I20" s="1">
        <v>0.88</v>
      </c>
      <c r="J20" s="1" t="s">
        <v>20</v>
      </c>
      <c r="K20" s="1">
        <v>592</v>
      </c>
      <c r="L20" s="1" t="s">
        <v>254</v>
      </c>
    </row>
    <row r="21" spans="2:12" x14ac:dyDescent="0.3">
      <c r="B21" s="1">
        <v>125</v>
      </c>
      <c r="C21" s="1" t="s">
        <v>180</v>
      </c>
      <c r="D21" s="1">
        <v>1480</v>
      </c>
      <c r="E21" s="1">
        <v>157</v>
      </c>
      <c r="F21" s="1">
        <f>ROUNDUP(Motor_4P_IE1_T[[#This Row],[Rated FL Amp (415V)(3Ph)]]*((SQRT(3)*$E$1)/$F$1),1)</f>
        <v>470.3</v>
      </c>
      <c r="G21" s="1">
        <v>93.9</v>
      </c>
      <c r="H21" s="1" t="s">
        <v>20</v>
      </c>
      <c r="I21" s="1">
        <v>0.88</v>
      </c>
      <c r="J21" s="1" t="s">
        <v>20</v>
      </c>
      <c r="K21" s="1">
        <v>672</v>
      </c>
      <c r="L21" s="1" t="s">
        <v>255</v>
      </c>
    </row>
    <row r="22" spans="2:12" x14ac:dyDescent="0.3">
      <c r="B22" s="1">
        <v>150</v>
      </c>
      <c r="C22" s="1" t="s">
        <v>181</v>
      </c>
      <c r="D22" s="1">
        <v>1480</v>
      </c>
      <c r="E22" s="1">
        <v>191</v>
      </c>
      <c r="F22" s="1">
        <f>ROUNDUP(Motor_4P_IE1_T[[#This Row],[Rated FL Amp (415V)(3Ph)]]*((SQRT(3)*$E$1)/$F$1),1)</f>
        <v>572.1</v>
      </c>
      <c r="G22" s="1">
        <v>94.5</v>
      </c>
      <c r="H22" s="1" t="s">
        <v>20</v>
      </c>
      <c r="I22" s="1">
        <v>0.88</v>
      </c>
      <c r="J22" s="1" t="s">
        <v>20</v>
      </c>
      <c r="K22" s="1">
        <v>980</v>
      </c>
      <c r="L22" s="1" t="s">
        <v>256</v>
      </c>
    </row>
    <row r="23" spans="2:12" x14ac:dyDescent="0.3">
      <c r="B23" s="1">
        <v>175</v>
      </c>
      <c r="C23" s="1" t="s">
        <v>182</v>
      </c>
      <c r="D23" s="1">
        <v>1480</v>
      </c>
      <c r="E23" s="1">
        <v>228</v>
      </c>
      <c r="F23" s="1">
        <f>ROUNDUP(Motor_4P_IE1_T[[#This Row],[Rated FL Amp (415V)(3Ph)]]*((SQRT(3)*$E$1)/$F$1),1)</f>
        <v>682.9</v>
      </c>
      <c r="G23" s="1">
        <v>94.8</v>
      </c>
      <c r="H23" s="1" t="s">
        <v>20</v>
      </c>
      <c r="I23" s="1">
        <v>0.88</v>
      </c>
      <c r="J23" s="1" t="s">
        <v>20</v>
      </c>
      <c r="K23" s="1">
        <v>1040</v>
      </c>
      <c r="L23" s="1" t="s">
        <v>257</v>
      </c>
    </row>
    <row r="24" spans="2:12" x14ac:dyDescent="0.3">
      <c r="B24" s="1">
        <v>215</v>
      </c>
      <c r="C24" s="1" t="s">
        <v>183</v>
      </c>
      <c r="D24" s="1">
        <v>1480</v>
      </c>
      <c r="E24" s="1">
        <v>273</v>
      </c>
      <c r="F24" s="1">
        <f>ROUNDUP(Motor_4P_IE1_T[[#This Row],[Rated FL Amp (415V)(3Ph)]]*((SQRT(3)*$E$1)/$F$1),1)</f>
        <v>817.7</v>
      </c>
      <c r="G24" s="1">
        <v>94.9</v>
      </c>
      <c r="H24" s="1" t="s">
        <v>20</v>
      </c>
      <c r="I24" s="1">
        <v>0.89</v>
      </c>
      <c r="J24" s="1" t="s">
        <v>20</v>
      </c>
      <c r="K24" s="1">
        <v>1180</v>
      </c>
      <c r="L24" s="1" t="s">
        <v>258</v>
      </c>
    </row>
    <row r="25" spans="2:12" x14ac:dyDescent="0.3">
      <c r="B25" s="1">
        <v>270</v>
      </c>
      <c r="C25" s="1" t="s">
        <v>184</v>
      </c>
      <c r="D25" s="1">
        <v>1480</v>
      </c>
      <c r="E25" s="1">
        <v>342</v>
      </c>
      <c r="F25" s="1">
        <f>ROUNDUP(Motor_4P_IE1_T[[#This Row],[Rated FL Amp (415V)(3Ph)]]*((SQRT(3)*$E$1)/$F$1),1)</f>
        <v>1024.3</v>
      </c>
      <c r="G25" s="1">
        <v>94.9</v>
      </c>
      <c r="H25" s="1" t="s">
        <v>20</v>
      </c>
      <c r="I25" s="1">
        <v>0.89</v>
      </c>
      <c r="J25" s="1" t="s">
        <v>20</v>
      </c>
      <c r="K25" s="1">
        <v>1260</v>
      </c>
      <c r="L25" s="1" t="s">
        <v>258</v>
      </c>
    </row>
    <row r="26" spans="2:12" x14ac:dyDescent="0.3">
      <c r="B26" s="1">
        <v>335</v>
      </c>
      <c r="C26" s="1" t="s">
        <v>185</v>
      </c>
      <c r="D26" s="1">
        <v>1490</v>
      </c>
      <c r="E26" s="1">
        <v>421</v>
      </c>
      <c r="F26" s="1">
        <f>ROUNDUP(Motor_4P_IE1_T[[#This Row],[Rated FL Amp (415V)(3Ph)]]*((SQRT(3)*$E$1)/$F$1),1)</f>
        <v>1260.8999999999999</v>
      </c>
      <c r="G26" s="1">
        <v>95.2</v>
      </c>
      <c r="H26" s="1" t="s">
        <v>20</v>
      </c>
      <c r="I26" s="1">
        <v>0.9</v>
      </c>
      <c r="J26" s="1" t="s">
        <v>20</v>
      </c>
      <c r="K26" s="1">
        <v>1810</v>
      </c>
      <c r="L26" s="1" t="s">
        <v>259</v>
      </c>
    </row>
    <row r="27" spans="2:12" x14ac:dyDescent="0.3">
      <c r="B27" s="1">
        <v>420</v>
      </c>
      <c r="C27" s="1" t="s">
        <v>186</v>
      </c>
      <c r="D27" s="1">
        <v>1490</v>
      </c>
      <c r="E27" s="1">
        <v>531</v>
      </c>
      <c r="F27" s="1">
        <f>ROUNDUP(Motor_4P_IE1_T[[#This Row],[Rated FL Amp (415V)(3Ph)]]*((SQRT(3)*$E$1)/$F$1),1)</f>
        <v>1590.3999999999999</v>
      </c>
      <c r="G27" s="1">
        <v>95.2</v>
      </c>
      <c r="H27" s="1" t="s">
        <v>20</v>
      </c>
      <c r="I27" s="1">
        <v>0.9</v>
      </c>
      <c r="J27" s="1" t="s">
        <v>20</v>
      </c>
      <c r="K27" s="1">
        <v>1910</v>
      </c>
      <c r="L27" s="1" t="s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D1E9-A77B-4539-AF30-761D2DFA610F}">
  <dimension ref="B1:L26"/>
  <sheetViews>
    <sheetView topLeftCell="B1" workbookViewId="0">
      <selection activeCell="K3" sqref="K3:L4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</cols>
  <sheetData>
    <row r="1" spans="2:12" x14ac:dyDescent="0.3">
      <c r="E1" s="1">
        <v>415</v>
      </c>
      <c r="F1" s="1">
        <v>240</v>
      </c>
    </row>
    <row r="2" spans="2:12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</row>
    <row r="3" spans="2:12" x14ac:dyDescent="0.3">
      <c r="B3" s="1">
        <v>1</v>
      </c>
      <c r="C3" s="1" t="s">
        <v>112</v>
      </c>
      <c r="D3" s="1">
        <v>2850</v>
      </c>
      <c r="E3" s="1">
        <v>1.64</v>
      </c>
      <c r="F3" s="1">
        <f>ROUNDUP(Motor_2P_IE2_T[[#This Row],[Rated FL Amp (415V)(3Ph)]]*((SQRT(3)*$E$1)/$F$1),1)</f>
        <v>5</v>
      </c>
      <c r="G3" s="1">
        <v>77.400000000000006</v>
      </c>
      <c r="H3" s="1" t="s">
        <v>20</v>
      </c>
      <c r="I3" s="1">
        <v>0.82</v>
      </c>
      <c r="J3" s="1" t="s">
        <v>20</v>
      </c>
      <c r="K3" s="1">
        <v>17</v>
      </c>
      <c r="L3" s="1" t="s">
        <v>192</v>
      </c>
    </row>
    <row r="4" spans="2:12" x14ac:dyDescent="0.3">
      <c r="B4" s="1">
        <v>1.5</v>
      </c>
      <c r="C4" s="1" t="s">
        <v>113</v>
      </c>
      <c r="D4" s="1">
        <v>2870</v>
      </c>
      <c r="E4" s="1">
        <v>2.31</v>
      </c>
      <c r="F4" s="1">
        <f>ROUNDUP(Motor_2P_IE2_T[[#This Row],[Rated FL Amp (415V)(3Ph)]]*((SQRT(3)*$E$1)/$F$1),1)</f>
        <v>7</v>
      </c>
      <c r="G4" s="1">
        <v>79.599999999999994</v>
      </c>
      <c r="H4" s="1" t="s">
        <v>20</v>
      </c>
      <c r="I4" s="1">
        <v>0.83</v>
      </c>
      <c r="J4" s="1" t="s">
        <v>20</v>
      </c>
      <c r="K4" s="1">
        <v>18</v>
      </c>
      <c r="L4" s="1" t="s">
        <v>192</v>
      </c>
    </row>
    <row r="5" spans="2:12" x14ac:dyDescent="0.3">
      <c r="B5" s="1">
        <v>2</v>
      </c>
      <c r="C5" s="1" t="s">
        <v>114</v>
      </c>
      <c r="D5" s="1">
        <v>2880</v>
      </c>
      <c r="E5" s="1">
        <v>3.08</v>
      </c>
      <c r="F5" s="1">
        <f>ROUNDUP(Motor_2P_IE2_T[[#This Row],[Rated FL Amp (415V)(3Ph)]]*((SQRT(3)*$E$1)/$F$1),1)</f>
        <v>9.2999999999999989</v>
      </c>
      <c r="G5" s="1">
        <v>81.3</v>
      </c>
      <c r="H5" s="1" t="s">
        <v>20</v>
      </c>
      <c r="I5" s="1">
        <v>0.84</v>
      </c>
      <c r="J5" s="1" t="s">
        <v>20</v>
      </c>
      <c r="K5" s="1">
        <v>22</v>
      </c>
      <c r="L5" s="1" t="s">
        <v>193</v>
      </c>
    </row>
    <row r="6" spans="2:12" x14ac:dyDescent="0.3">
      <c r="B6" s="1">
        <v>3</v>
      </c>
      <c r="C6" s="1" t="s">
        <v>115</v>
      </c>
      <c r="D6" s="1">
        <v>2880</v>
      </c>
      <c r="E6" s="1">
        <v>4.34</v>
      </c>
      <c r="F6" s="1">
        <f>ROUNDUP(Motor_2P_IE2_T[[#This Row],[Rated FL Amp (415V)(3Ph)]]*((SQRT(3)*$E$1)/$F$1),1)</f>
        <v>13</v>
      </c>
      <c r="G6" s="1">
        <v>83.2</v>
      </c>
      <c r="H6" s="1" t="s">
        <v>20</v>
      </c>
      <c r="I6" s="1">
        <v>0.85</v>
      </c>
      <c r="J6" s="1" t="s">
        <v>20</v>
      </c>
      <c r="K6" s="1">
        <v>25</v>
      </c>
      <c r="L6" s="1" t="s">
        <v>194</v>
      </c>
    </row>
    <row r="7" spans="2:12" x14ac:dyDescent="0.3">
      <c r="B7" s="1">
        <v>4</v>
      </c>
      <c r="C7" s="1" t="s">
        <v>116</v>
      </c>
      <c r="D7" s="1">
        <v>2880</v>
      </c>
      <c r="E7" s="1">
        <v>5.69</v>
      </c>
      <c r="F7" s="1">
        <f>ROUNDUP(Motor_2P_IE2_T[[#This Row],[Rated FL Amp (415V)(3Ph)]]*((SQRT(3)*$E$1)/$F$1),1)</f>
        <v>17.100000000000001</v>
      </c>
      <c r="G7" s="1">
        <v>84.6</v>
      </c>
      <c r="H7" s="1" t="s">
        <v>20</v>
      </c>
      <c r="I7" s="1">
        <v>0.87</v>
      </c>
      <c r="J7" s="1" t="s">
        <v>20</v>
      </c>
      <c r="K7" s="1">
        <v>28</v>
      </c>
      <c r="L7" s="1" t="s">
        <v>195</v>
      </c>
    </row>
    <row r="8" spans="2:12" x14ac:dyDescent="0.3">
      <c r="B8" s="1">
        <v>5.5</v>
      </c>
      <c r="C8" s="1" t="s">
        <v>117</v>
      </c>
      <c r="D8" s="1">
        <v>2900</v>
      </c>
      <c r="E8" s="1">
        <v>7.33</v>
      </c>
      <c r="F8" s="1">
        <f>ROUNDUP(Motor_2P_IE2_T[[#This Row],[Rated FL Amp (415V)(3Ph)]]*((SQRT(3)*$E$1)/$F$1),1)</f>
        <v>22</v>
      </c>
      <c r="G8" s="1">
        <v>85.8</v>
      </c>
      <c r="H8" s="1" t="s">
        <v>20</v>
      </c>
      <c r="I8" s="1">
        <v>0.88</v>
      </c>
      <c r="J8" s="1" t="s">
        <v>20</v>
      </c>
      <c r="K8" s="1">
        <v>45</v>
      </c>
      <c r="L8" s="1" t="s">
        <v>196</v>
      </c>
    </row>
    <row r="9" spans="2:12" x14ac:dyDescent="0.3">
      <c r="B9" s="1">
        <v>7.5</v>
      </c>
      <c r="C9" s="1" t="s">
        <v>118</v>
      </c>
      <c r="D9" s="1">
        <v>2910</v>
      </c>
      <c r="E9" s="1">
        <v>10</v>
      </c>
      <c r="F9" s="1">
        <f>ROUNDUP(Motor_2P_IE2_T[[#This Row],[Rated FL Amp (415V)(3Ph)]]*((SQRT(3)*$E$1)/$F$1),1)</f>
        <v>30</v>
      </c>
      <c r="G9" s="1">
        <v>87</v>
      </c>
      <c r="H9" s="1" t="s">
        <v>20</v>
      </c>
      <c r="I9" s="1">
        <v>0.88</v>
      </c>
      <c r="J9" s="1" t="s">
        <v>20</v>
      </c>
      <c r="K9" s="1">
        <v>59</v>
      </c>
      <c r="L9" s="1" t="s">
        <v>197</v>
      </c>
    </row>
    <row r="10" spans="2:12" x14ac:dyDescent="0.3">
      <c r="B10" s="1">
        <v>10</v>
      </c>
      <c r="C10" s="1" t="s">
        <v>119</v>
      </c>
      <c r="D10" s="1">
        <v>2910</v>
      </c>
      <c r="E10" s="1">
        <v>13.3</v>
      </c>
      <c r="F10" s="1">
        <f>ROUNDUP(Motor_2P_IE2_T[[#This Row],[Rated FL Amp (415V)(3Ph)]]*((SQRT(3)*$E$1)/$F$1),1)</f>
        <v>39.9</v>
      </c>
      <c r="G10" s="1">
        <v>88.1</v>
      </c>
      <c r="H10" s="1" t="s">
        <v>20</v>
      </c>
      <c r="I10" s="1">
        <v>0.89</v>
      </c>
      <c r="J10" s="1" t="s">
        <v>20</v>
      </c>
      <c r="K10" s="1">
        <v>64</v>
      </c>
      <c r="L10" s="1" t="s">
        <v>197</v>
      </c>
    </row>
    <row r="11" spans="2:12" x14ac:dyDescent="0.3">
      <c r="B11" s="1">
        <v>15</v>
      </c>
      <c r="C11" s="1" t="s">
        <v>120</v>
      </c>
      <c r="D11" s="1">
        <v>2940</v>
      </c>
      <c r="E11" s="1">
        <v>19.3</v>
      </c>
      <c r="F11" s="1">
        <f>ROUNDUP(Motor_2P_IE2_T[[#This Row],[Rated FL Amp (415V)(3Ph)]]*((SQRT(3)*$E$1)/$F$1),1)</f>
        <v>57.9</v>
      </c>
      <c r="G11" s="1">
        <v>89.4</v>
      </c>
      <c r="H11" s="1" t="s">
        <v>20</v>
      </c>
      <c r="I11" s="1">
        <v>0.89</v>
      </c>
      <c r="J11" s="1" t="s">
        <v>20</v>
      </c>
      <c r="K11" s="1">
        <v>109</v>
      </c>
      <c r="L11" s="1" t="s">
        <v>198</v>
      </c>
    </row>
    <row r="12" spans="2:12" x14ac:dyDescent="0.3">
      <c r="B12" s="1">
        <v>20</v>
      </c>
      <c r="C12" s="1" t="s">
        <v>121</v>
      </c>
      <c r="D12" s="1">
        <v>2940</v>
      </c>
      <c r="E12" s="1">
        <v>25.9</v>
      </c>
      <c r="F12" s="1">
        <f>ROUNDUP(Motor_2P_IE2_T[[#This Row],[Rated FL Amp (415V)(3Ph)]]*((SQRT(3)*$E$1)/$F$1),1)</f>
        <v>77.599999999999994</v>
      </c>
      <c r="G12" s="1">
        <v>90.3</v>
      </c>
      <c r="H12" s="1" t="s">
        <v>20</v>
      </c>
      <c r="I12" s="1">
        <v>0.89</v>
      </c>
      <c r="J12" s="1" t="s">
        <v>20</v>
      </c>
      <c r="K12" s="1">
        <v>121</v>
      </c>
      <c r="L12" s="1" t="s">
        <v>198</v>
      </c>
    </row>
    <row r="13" spans="2:12" x14ac:dyDescent="0.3">
      <c r="B13" s="1">
        <v>25</v>
      </c>
      <c r="C13" s="1" t="s">
        <v>122</v>
      </c>
      <c r="D13" s="1">
        <v>2940</v>
      </c>
      <c r="E13" s="1">
        <v>31.8</v>
      </c>
      <c r="F13" s="1">
        <f>ROUNDUP(Motor_2P_IE2_T[[#This Row],[Rated FL Amp (415V)(3Ph)]]*((SQRT(3)*$E$1)/$F$1),1)</f>
        <v>95.3</v>
      </c>
      <c r="G13" s="1">
        <v>90.9</v>
      </c>
      <c r="H13" s="1" t="s">
        <v>20</v>
      </c>
      <c r="I13" s="1">
        <v>0.89</v>
      </c>
      <c r="J13" s="1" t="s">
        <v>20</v>
      </c>
      <c r="K13" s="1">
        <v>136</v>
      </c>
      <c r="L13" s="1" t="s">
        <v>199</v>
      </c>
    </row>
    <row r="14" spans="2:12" x14ac:dyDescent="0.3">
      <c r="B14" s="1">
        <v>30</v>
      </c>
      <c r="C14" s="1" t="s">
        <v>123</v>
      </c>
      <c r="D14" s="1">
        <v>2950</v>
      </c>
      <c r="E14" s="1">
        <v>37.700000000000003</v>
      </c>
      <c r="F14" s="1">
        <f>ROUNDUP(Motor_2P_IE2_T[[#This Row],[Rated FL Amp (415V)(3Ph)]]*((SQRT(3)*$E$1)/$F$1),1)</f>
        <v>113</v>
      </c>
      <c r="G14" s="1">
        <v>91.3</v>
      </c>
      <c r="H14" s="1" t="s">
        <v>20</v>
      </c>
      <c r="I14" s="1">
        <v>0.89</v>
      </c>
      <c r="J14" s="1" t="s">
        <v>20</v>
      </c>
      <c r="K14" s="1">
        <v>180</v>
      </c>
      <c r="L14" s="1" t="s">
        <v>200</v>
      </c>
    </row>
    <row r="15" spans="2:12" x14ac:dyDescent="0.3">
      <c r="B15" s="1">
        <v>40</v>
      </c>
      <c r="C15" s="1" t="s">
        <v>124</v>
      </c>
      <c r="D15" s="1">
        <v>2960</v>
      </c>
      <c r="E15" s="1">
        <v>51</v>
      </c>
      <c r="F15" s="1">
        <f>ROUNDUP(Motor_2P_IE2_T[[#This Row],[Rated FL Amp (415V)(3Ph)]]*((SQRT(3)*$E$1)/$F$1),1)</f>
        <v>152.79999999999998</v>
      </c>
      <c r="G15" s="1">
        <v>92</v>
      </c>
      <c r="H15" s="1" t="s">
        <v>20</v>
      </c>
      <c r="I15" s="1">
        <v>0.89</v>
      </c>
      <c r="J15" s="1" t="s">
        <v>20</v>
      </c>
      <c r="K15" s="1">
        <v>246</v>
      </c>
      <c r="L15" s="1" t="s">
        <v>201</v>
      </c>
    </row>
    <row r="16" spans="2:12" x14ac:dyDescent="0.3">
      <c r="B16" s="1">
        <v>50</v>
      </c>
      <c r="C16" s="1" t="s">
        <v>125</v>
      </c>
      <c r="D16" s="1">
        <v>2960</v>
      </c>
      <c r="E16" s="1">
        <v>62.3</v>
      </c>
      <c r="F16" s="1">
        <f>ROUNDUP(Motor_2P_IE2_T[[#This Row],[Rated FL Amp (415V)(3Ph)]]*((SQRT(3)*$E$1)/$F$1),1)</f>
        <v>186.6</v>
      </c>
      <c r="G16" s="1">
        <v>92.5</v>
      </c>
      <c r="H16" s="1" t="s">
        <v>20</v>
      </c>
      <c r="I16" s="1">
        <v>0.89</v>
      </c>
      <c r="J16" s="1" t="s">
        <v>20</v>
      </c>
      <c r="K16" s="1">
        <v>256</v>
      </c>
      <c r="L16" s="1" t="s">
        <v>201</v>
      </c>
    </row>
    <row r="17" spans="2:12" x14ac:dyDescent="0.3">
      <c r="B17" s="1">
        <v>60</v>
      </c>
      <c r="C17" s="1" t="s">
        <v>126</v>
      </c>
      <c r="D17" s="1">
        <v>2960</v>
      </c>
      <c r="E17" s="1">
        <v>75.8</v>
      </c>
      <c r="F17" s="1">
        <f>ROUNDUP(Motor_2P_IE2_T[[#This Row],[Rated FL Amp (415V)(3Ph)]]*((SQRT(3)*$E$1)/$F$1),1)</f>
        <v>227.1</v>
      </c>
      <c r="G17" s="1">
        <v>92.9</v>
      </c>
      <c r="H17" s="1" t="s">
        <v>20</v>
      </c>
      <c r="I17" s="1">
        <v>0.89</v>
      </c>
      <c r="J17" s="1" t="s">
        <v>20</v>
      </c>
      <c r="K17" s="1">
        <v>328</v>
      </c>
      <c r="L17" s="1" t="s">
        <v>202</v>
      </c>
    </row>
    <row r="18" spans="2:12" x14ac:dyDescent="0.3">
      <c r="B18" s="1">
        <v>75</v>
      </c>
      <c r="C18" s="1" t="s">
        <v>127</v>
      </c>
      <c r="D18" s="1">
        <v>2970</v>
      </c>
      <c r="E18" s="1">
        <v>92.5</v>
      </c>
      <c r="F18" s="1">
        <f>ROUNDUP(Motor_2P_IE2_T[[#This Row],[Rated FL Amp (415V)(3Ph)]]*((SQRT(3)*$E$1)/$F$1),1)</f>
        <v>277.10000000000002</v>
      </c>
      <c r="G18" s="1">
        <v>93.2</v>
      </c>
      <c r="H18" s="1" t="s">
        <v>20</v>
      </c>
      <c r="I18" s="1">
        <v>0.89</v>
      </c>
      <c r="J18" s="1" t="s">
        <v>20</v>
      </c>
      <c r="K18" s="1">
        <v>433</v>
      </c>
      <c r="L18" s="1" t="s">
        <v>203</v>
      </c>
    </row>
    <row r="19" spans="2:12" x14ac:dyDescent="0.3">
      <c r="B19" s="1">
        <v>100</v>
      </c>
      <c r="C19" s="1" t="s">
        <v>128</v>
      </c>
      <c r="D19" s="1">
        <v>2975</v>
      </c>
      <c r="E19" s="1">
        <v>125.3</v>
      </c>
      <c r="F19" s="1">
        <f>ROUNDUP(Motor_2P_IE2_T[[#This Row],[Rated FL Amp (415V)(3Ph)]]*((SQRT(3)*$E$1)/$F$1),1)</f>
        <v>375.3</v>
      </c>
      <c r="G19" s="1">
        <v>93.8</v>
      </c>
      <c r="H19" s="1" t="s">
        <v>20</v>
      </c>
      <c r="I19" s="1">
        <v>0.89</v>
      </c>
      <c r="J19" s="1" t="s">
        <v>20</v>
      </c>
      <c r="K19" s="1">
        <v>572</v>
      </c>
      <c r="L19" s="1" t="s">
        <v>204</v>
      </c>
    </row>
    <row r="20" spans="2:12" x14ac:dyDescent="0.3">
      <c r="B20" s="1">
        <v>125</v>
      </c>
      <c r="C20" s="1" t="s">
        <v>129</v>
      </c>
      <c r="D20" s="1">
        <v>2975</v>
      </c>
      <c r="E20" s="1">
        <v>149.4</v>
      </c>
      <c r="F20" s="1">
        <f>ROUNDUP(Motor_2P_IE2_T[[#This Row],[Rated FL Amp (415V)(3Ph)]]*((SQRT(3)*$E$1)/$F$1),1)</f>
        <v>447.5</v>
      </c>
      <c r="G20" s="1">
        <v>94.1</v>
      </c>
      <c r="H20" s="1" t="s">
        <v>20</v>
      </c>
      <c r="I20" s="1">
        <v>0.89</v>
      </c>
      <c r="J20" s="1" t="s">
        <v>20</v>
      </c>
      <c r="K20" s="1">
        <v>632</v>
      </c>
      <c r="L20" s="1" t="s">
        <v>205</v>
      </c>
    </row>
    <row r="21" spans="2:12" x14ac:dyDescent="0.3">
      <c r="B21" s="1">
        <v>150</v>
      </c>
      <c r="C21" s="1" t="s">
        <v>130</v>
      </c>
      <c r="D21" s="1">
        <v>2975</v>
      </c>
      <c r="E21" s="1">
        <v>180.2</v>
      </c>
      <c r="F21" s="1">
        <f>ROUNDUP(Motor_2P_IE2_T[[#This Row],[Rated FL Amp (415V)(3Ph)]]*((SQRT(3)*$E$1)/$F$1),1)</f>
        <v>539.70000000000005</v>
      </c>
      <c r="G21" s="1">
        <v>94.3</v>
      </c>
      <c r="H21" s="1" t="s">
        <v>20</v>
      </c>
      <c r="I21" s="1">
        <v>0.9</v>
      </c>
      <c r="J21" s="1" t="s">
        <v>20</v>
      </c>
      <c r="K21" s="1">
        <v>950</v>
      </c>
      <c r="L21" s="1" t="s">
        <v>206</v>
      </c>
    </row>
    <row r="22" spans="2:12" x14ac:dyDescent="0.3">
      <c r="B22" s="1">
        <v>175</v>
      </c>
      <c r="C22" s="1" t="s">
        <v>131</v>
      </c>
      <c r="D22" s="1">
        <v>2975</v>
      </c>
      <c r="E22" s="1">
        <v>215.9</v>
      </c>
      <c r="F22" s="1">
        <f>ROUNDUP(Motor_2P_IE2_T[[#This Row],[Rated FL Amp (415V)(3Ph)]]*((SQRT(3)*$E$1)/$F$1),1)</f>
        <v>646.70000000000005</v>
      </c>
      <c r="G22" s="1">
        <v>94.6</v>
      </c>
      <c r="H22" s="1" t="s">
        <v>20</v>
      </c>
      <c r="I22" s="1">
        <v>0.9</v>
      </c>
      <c r="J22" s="1" t="s">
        <v>20</v>
      </c>
      <c r="K22" s="1">
        <v>1080</v>
      </c>
      <c r="L22" s="1" t="s">
        <v>207</v>
      </c>
    </row>
    <row r="23" spans="2:12" x14ac:dyDescent="0.3">
      <c r="B23" s="1">
        <v>215</v>
      </c>
      <c r="C23" s="1" t="s">
        <v>132</v>
      </c>
      <c r="D23" s="1">
        <v>2975</v>
      </c>
      <c r="E23" s="1">
        <v>258.3</v>
      </c>
      <c r="F23" s="1">
        <f>ROUNDUP(Motor_2P_IE2_T[[#This Row],[Rated FL Amp (415V)(3Ph)]]*((SQRT(3)*$E$1)/$F$1),1)</f>
        <v>773.7</v>
      </c>
      <c r="G23" s="1">
        <v>94.8</v>
      </c>
      <c r="H23" s="1" t="s">
        <v>20</v>
      </c>
      <c r="I23" s="1">
        <v>0.91</v>
      </c>
      <c r="J23" s="1" t="s">
        <v>20</v>
      </c>
      <c r="K23" s="1">
        <v>1210</v>
      </c>
      <c r="L23" s="1" t="s">
        <v>208</v>
      </c>
    </row>
    <row r="24" spans="2:12" x14ac:dyDescent="0.3">
      <c r="B24" s="1">
        <v>270</v>
      </c>
      <c r="C24" s="1" t="s">
        <v>133</v>
      </c>
      <c r="D24" s="1">
        <v>2975</v>
      </c>
      <c r="E24" s="1">
        <v>321.89999999999998</v>
      </c>
      <c r="F24" s="1">
        <f>ROUNDUP(Motor_2P_IE2_T[[#This Row],[Rated FL Amp (415V)(3Ph)]]*((SQRT(3)*$E$1)/$F$1),1)</f>
        <v>964.1</v>
      </c>
      <c r="G24" s="1">
        <v>95</v>
      </c>
      <c r="H24" s="1" t="s">
        <v>20</v>
      </c>
      <c r="I24" s="1">
        <v>0.91</v>
      </c>
      <c r="J24" s="1" t="s">
        <v>20</v>
      </c>
      <c r="K24" s="1">
        <v>1240</v>
      </c>
      <c r="L24" s="1" t="s">
        <v>208</v>
      </c>
    </row>
    <row r="25" spans="2:12" x14ac:dyDescent="0.3">
      <c r="B25" s="1">
        <v>335</v>
      </c>
      <c r="C25" s="1" t="s">
        <v>134</v>
      </c>
      <c r="D25" s="1">
        <v>2980</v>
      </c>
      <c r="E25" s="1">
        <v>402.9</v>
      </c>
      <c r="F25" s="1">
        <f>ROUNDUP(Motor_2P_IE2_T[[#This Row],[Rated FL Amp (415V)(3Ph)]]*((SQRT(3)*$E$1)/$F$1),1)</f>
        <v>1206.6999999999998</v>
      </c>
      <c r="G25" s="1">
        <v>95</v>
      </c>
      <c r="H25" s="1" t="s">
        <v>20</v>
      </c>
      <c r="I25" s="1">
        <v>0.91</v>
      </c>
      <c r="J25" s="1" t="s">
        <v>20</v>
      </c>
      <c r="K25" s="1">
        <v>1970</v>
      </c>
      <c r="L25" s="1" t="s">
        <v>209</v>
      </c>
    </row>
    <row r="26" spans="2:12" x14ac:dyDescent="0.3">
      <c r="B26" s="1">
        <v>420</v>
      </c>
      <c r="C26" s="1" t="s">
        <v>135</v>
      </c>
      <c r="D26" s="1">
        <v>2980</v>
      </c>
      <c r="E26" s="1">
        <v>507</v>
      </c>
      <c r="F26" s="1">
        <f>ROUNDUP(Motor_2P_IE2_T[[#This Row],[Rated FL Amp (415V)(3Ph)]]*((SQRT(3)*$E$1)/$F$1),1)</f>
        <v>1518.5</v>
      </c>
      <c r="G26" s="1">
        <v>95</v>
      </c>
      <c r="H26" s="1" t="s">
        <v>20</v>
      </c>
      <c r="I26" s="1">
        <v>0.91</v>
      </c>
      <c r="J26" s="1" t="s">
        <v>20</v>
      </c>
      <c r="K26" s="1">
        <v>2000</v>
      </c>
      <c r="L26" s="1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A628-1942-435B-A044-85E9594898ED}">
  <dimension ref="B1:L26"/>
  <sheetViews>
    <sheetView topLeftCell="C1" workbookViewId="0">
      <selection activeCell="L3" sqref="L3:L26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</cols>
  <sheetData>
    <row r="1" spans="2:12" x14ac:dyDescent="0.3">
      <c r="E1" s="1">
        <v>415</v>
      </c>
      <c r="F1" s="1">
        <v>240</v>
      </c>
    </row>
    <row r="2" spans="2:12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</row>
    <row r="3" spans="2:12" x14ac:dyDescent="0.3">
      <c r="B3" s="1">
        <v>1</v>
      </c>
      <c r="C3" s="1" t="s">
        <v>325</v>
      </c>
      <c r="D3" s="1">
        <v>1420</v>
      </c>
      <c r="E3" s="1">
        <v>1.73</v>
      </c>
      <c r="F3" s="1">
        <f>ROUNDUP(Motor_4P_IE2_T[[#This Row],[Rated FL Amp (415V)(3Ph)]]*((SQRT(3)*$E$1)/$F$1),1)</f>
        <v>5.1999999999999993</v>
      </c>
      <c r="G3" s="1">
        <v>79.599999999999994</v>
      </c>
      <c r="H3" s="1" t="s">
        <v>20</v>
      </c>
      <c r="I3" s="1">
        <v>0.76</v>
      </c>
      <c r="J3" s="1" t="s">
        <v>20</v>
      </c>
      <c r="K3" s="1">
        <v>17</v>
      </c>
      <c r="L3" s="1" t="s">
        <v>239</v>
      </c>
    </row>
    <row r="4" spans="2:12" x14ac:dyDescent="0.3">
      <c r="B4" s="1">
        <v>1.5</v>
      </c>
      <c r="C4" s="1" t="s">
        <v>326</v>
      </c>
      <c r="D4" s="1">
        <v>1420</v>
      </c>
      <c r="E4" s="1">
        <v>2.5099999999999998</v>
      </c>
      <c r="F4" s="1">
        <f>ROUNDUP(Motor_4P_IE2_T[[#This Row],[Rated FL Amp (415V)(3Ph)]]*((SQRT(3)*$E$1)/$F$1),1)</f>
        <v>7.6</v>
      </c>
      <c r="G4" s="1">
        <v>81.400000000000006</v>
      </c>
      <c r="H4" s="1" t="s">
        <v>20</v>
      </c>
      <c r="I4" s="1">
        <v>0.77</v>
      </c>
      <c r="J4" s="1" t="s">
        <v>20</v>
      </c>
      <c r="K4" s="1">
        <v>18</v>
      </c>
      <c r="L4" s="1" t="s">
        <v>240</v>
      </c>
    </row>
    <row r="5" spans="2:12" x14ac:dyDescent="0.3">
      <c r="B5" s="1">
        <v>2</v>
      </c>
      <c r="C5" s="1" t="s">
        <v>327</v>
      </c>
      <c r="D5" s="1">
        <v>1420</v>
      </c>
      <c r="E5" s="1">
        <v>3.37</v>
      </c>
      <c r="F5" s="1">
        <f>ROUNDUP(Motor_4P_IE2_T[[#This Row],[Rated FL Amp (415V)(3Ph)]]*((SQRT(3)*$E$1)/$F$1),1)</f>
        <v>10.1</v>
      </c>
      <c r="G5" s="1">
        <v>82.8</v>
      </c>
      <c r="H5" s="1" t="s">
        <v>20</v>
      </c>
      <c r="I5" s="1">
        <v>0.78</v>
      </c>
      <c r="J5" s="1" t="s">
        <v>20</v>
      </c>
      <c r="K5" s="1">
        <v>22</v>
      </c>
      <c r="L5" s="1" t="s">
        <v>241</v>
      </c>
    </row>
    <row r="6" spans="2:12" x14ac:dyDescent="0.3">
      <c r="B6" s="1">
        <v>3</v>
      </c>
      <c r="C6" s="1" t="s">
        <v>328</v>
      </c>
      <c r="D6" s="1">
        <v>1440</v>
      </c>
      <c r="E6" s="1">
        <v>4.53</v>
      </c>
      <c r="F6" s="1">
        <f>ROUNDUP(Motor_4P_IE2_T[[#This Row],[Rated FL Amp (415V)(3Ph)]]*((SQRT(3)*$E$1)/$F$1),1)</f>
        <v>13.6</v>
      </c>
      <c r="G6" s="1">
        <v>84.3</v>
      </c>
      <c r="H6" s="1" t="s">
        <v>20</v>
      </c>
      <c r="I6" s="1">
        <v>0.8</v>
      </c>
      <c r="J6" s="1" t="s">
        <v>20</v>
      </c>
      <c r="K6" s="1">
        <v>25</v>
      </c>
      <c r="L6" s="1" t="s">
        <v>242</v>
      </c>
    </row>
    <row r="7" spans="2:12" x14ac:dyDescent="0.3">
      <c r="B7" s="1">
        <v>4</v>
      </c>
      <c r="C7" s="1" t="s">
        <v>329</v>
      </c>
      <c r="D7" s="1">
        <v>1440</v>
      </c>
      <c r="E7" s="1">
        <v>6</v>
      </c>
      <c r="F7" s="1">
        <f>ROUNDUP(Motor_4P_IE2_T[[#This Row],[Rated FL Amp (415V)(3Ph)]]*((SQRT(3)*$E$1)/$F$1),1)</f>
        <v>18</v>
      </c>
      <c r="G7" s="1">
        <v>85.5</v>
      </c>
      <c r="H7" s="1" t="s">
        <v>20</v>
      </c>
      <c r="I7" s="1">
        <v>0.81</v>
      </c>
      <c r="J7" s="1" t="s">
        <v>20</v>
      </c>
      <c r="K7" s="1">
        <v>28</v>
      </c>
      <c r="L7" s="1" t="s">
        <v>242</v>
      </c>
    </row>
    <row r="8" spans="2:12" x14ac:dyDescent="0.3">
      <c r="B8" s="1">
        <v>5.5</v>
      </c>
      <c r="C8" s="1" t="s">
        <v>330</v>
      </c>
      <c r="D8" s="1">
        <v>1445</v>
      </c>
      <c r="E8" s="1">
        <v>7.81</v>
      </c>
      <c r="F8" s="1">
        <f>ROUNDUP(Motor_4P_IE2_T[[#This Row],[Rated FL Amp (415V)(3Ph)]]*((SQRT(3)*$E$1)/$F$1),1)</f>
        <v>23.400000000000002</v>
      </c>
      <c r="G8" s="1">
        <v>86.6</v>
      </c>
      <c r="H8" s="1" t="s">
        <v>20</v>
      </c>
      <c r="I8" s="1">
        <v>0.81</v>
      </c>
      <c r="J8" s="1" t="s">
        <v>20</v>
      </c>
      <c r="K8" s="1">
        <v>45</v>
      </c>
      <c r="L8" s="1" t="s">
        <v>243</v>
      </c>
    </row>
    <row r="9" spans="2:12" x14ac:dyDescent="0.3">
      <c r="B9" s="1">
        <v>7.5</v>
      </c>
      <c r="C9" s="1" t="s">
        <v>331</v>
      </c>
      <c r="D9" s="1">
        <v>1450</v>
      </c>
      <c r="E9" s="1">
        <v>11.7</v>
      </c>
      <c r="F9" s="1">
        <f>ROUNDUP(Motor_4P_IE2_T[[#This Row],[Rated FL Amp (415V)(3Ph)]]*((SQRT(3)*$E$1)/$F$1),1)</f>
        <v>35.1</v>
      </c>
      <c r="G9" s="1">
        <v>87.7</v>
      </c>
      <c r="H9" s="1" t="s">
        <v>20</v>
      </c>
      <c r="I9" s="1">
        <v>0.82</v>
      </c>
      <c r="J9" s="1" t="s">
        <v>20</v>
      </c>
      <c r="K9" s="1">
        <v>59</v>
      </c>
      <c r="L9" s="1" t="s">
        <v>244</v>
      </c>
    </row>
    <row r="10" spans="2:12" x14ac:dyDescent="0.3">
      <c r="B10" s="1">
        <v>10</v>
      </c>
      <c r="C10" s="1" t="s">
        <v>332</v>
      </c>
      <c r="D10" s="1">
        <v>1450</v>
      </c>
      <c r="E10" s="1">
        <v>14.2</v>
      </c>
      <c r="F10" s="1">
        <f>ROUNDUP(Motor_4P_IE2_T[[#This Row],[Rated FL Amp (415V)(3Ph)]]*((SQRT(3)*$E$1)/$F$1),1)</f>
        <v>42.6</v>
      </c>
      <c r="G10" s="1">
        <v>88.7</v>
      </c>
      <c r="H10" s="1" t="s">
        <v>20</v>
      </c>
      <c r="I10" s="1">
        <v>0.83</v>
      </c>
      <c r="J10" s="1" t="s">
        <v>20</v>
      </c>
      <c r="K10" s="1">
        <v>64</v>
      </c>
      <c r="L10" s="1" t="s">
        <v>246</v>
      </c>
    </row>
    <row r="11" spans="2:12" x14ac:dyDescent="0.3">
      <c r="B11" s="1">
        <v>15</v>
      </c>
      <c r="C11" s="1" t="s">
        <v>333</v>
      </c>
      <c r="D11" s="1">
        <v>1470</v>
      </c>
      <c r="E11" s="1">
        <v>20.5</v>
      </c>
      <c r="F11" s="1">
        <f>ROUNDUP(Motor_4P_IE2_T[[#This Row],[Rated FL Amp (415V)(3Ph)]]*((SQRT(3)*$E$1)/$F$1),1)</f>
        <v>61.4</v>
      </c>
      <c r="G11" s="1">
        <v>89.8</v>
      </c>
      <c r="H11" s="1" t="s">
        <v>20</v>
      </c>
      <c r="I11" s="1">
        <v>0.83</v>
      </c>
      <c r="J11" s="1" t="s">
        <v>20</v>
      </c>
      <c r="K11" s="1">
        <v>109</v>
      </c>
      <c r="L11" s="1" t="s">
        <v>245</v>
      </c>
    </row>
    <row r="12" spans="2:12" x14ac:dyDescent="0.3">
      <c r="B12" s="1">
        <v>20</v>
      </c>
      <c r="C12" s="1" t="s">
        <v>334</v>
      </c>
      <c r="D12" s="1">
        <v>1470</v>
      </c>
      <c r="E12" s="1">
        <v>27.4</v>
      </c>
      <c r="F12" s="1">
        <f>ROUNDUP(Motor_4P_IE2_T[[#This Row],[Rated FL Amp (415V)(3Ph)]]*((SQRT(3)*$E$1)/$F$1),1)</f>
        <v>82.1</v>
      </c>
      <c r="G12" s="1">
        <v>90.6</v>
      </c>
      <c r="H12" s="1" t="s">
        <v>20</v>
      </c>
      <c r="I12" s="1">
        <v>0.84</v>
      </c>
      <c r="J12" s="1" t="s">
        <v>20</v>
      </c>
      <c r="K12" s="1">
        <v>121</v>
      </c>
      <c r="L12" s="1" t="s">
        <v>247</v>
      </c>
    </row>
    <row r="13" spans="2:12" x14ac:dyDescent="0.3">
      <c r="B13" s="1">
        <v>25</v>
      </c>
      <c r="C13" s="1" t="s">
        <v>335</v>
      </c>
      <c r="D13" s="1">
        <v>1470</v>
      </c>
      <c r="E13" s="1">
        <v>33.200000000000003</v>
      </c>
      <c r="F13" s="1">
        <f>ROUNDUP(Motor_4P_IE2_T[[#This Row],[Rated FL Amp (415V)(3Ph)]]*((SQRT(3)*$E$1)/$F$1),1)</f>
        <v>99.5</v>
      </c>
      <c r="G13" s="1">
        <v>91.2</v>
      </c>
      <c r="H13" s="1" t="s">
        <v>20</v>
      </c>
      <c r="I13" s="1">
        <v>0.85</v>
      </c>
      <c r="J13" s="1" t="s">
        <v>20</v>
      </c>
      <c r="K13" s="1">
        <v>136</v>
      </c>
      <c r="L13" s="1" t="s">
        <v>248</v>
      </c>
    </row>
    <row r="14" spans="2:12" x14ac:dyDescent="0.3">
      <c r="B14" s="1">
        <v>30</v>
      </c>
      <c r="C14" s="1" t="s">
        <v>336</v>
      </c>
      <c r="D14" s="1">
        <v>1470</v>
      </c>
      <c r="E14" s="1">
        <v>39.299999999999997</v>
      </c>
      <c r="F14" s="1">
        <f>ROUNDUP(Motor_4P_IE2_T[[#This Row],[Rated FL Amp (415V)(3Ph)]]*((SQRT(3)*$E$1)/$F$1),1)</f>
        <v>117.8</v>
      </c>
      <c r="G14" s="1">
        <v>91.6</v>
      </c>
      <c r="H14" s="1" t="s">
        <v>20</v>
      </c>
      <c r="I14" s="1">
        <v>0.85</v>
      </c>
      <c r="J14" s="1" t="s">
        <v>20</v>
      </c>
      <c r="K14" s="1">
        <v>180</v>
      </c>
      <c r="L14" s="1" t="s">
        <v>249</v>
      </c>
    </row>
    <row r="15" spans="2:12" x14ac:dyDescent="0.3">
      <c r="B15" s="1">
        <v>40</v>
      </c>
      <c r="C15" s="1" t="s">
        <v>337</v>
      </c>
      <c r="D15" s="1">
        <v>1470</v>
      </c>
      <c r="E15" s="1">
        <v>53.2</v>
      </c>
      <c r="F15" s="1">
        <f>ROUNDUP(Motor_4P_IE2_T[[#This Row],[Rated FL Amp (415V)(3Ph)]]*((SQRT(3)*$E$1)/$F$1),1)</f>
        <v>159.4</v>
      </c>
      <c r="G15" s="1">
        <v>92.3</v>
      </c>
      <c r="H15" s="1" t="s">
        <v>20</v>
      </c>
      <c r="I15" s="1">
        <v>0.85</v>
      </c>
      <c r="J15" s="1" t="s">
        <v>20</v>
      </c>
      <c r="K15" s="1">
        <v>246</v>
      </c>
      <c r="L15" s="1" t="s">
        <v>250</v>
      </c>
    </row>
    <row r="16" spans="2:12" x14ac:dyDescent="0.3">
      <c r="B16" s="1">
        <v>50</v>
      </c>
      <c r="C16" s="1" t="s">
        <v>338</v>
      </c>
      <c r="D16" s="1">
        <v>1480</v>
      </c>
      <c r="E16" s="1">
        <v>64.599999999999994</v>
      </c>
      <c r="F16" s="1">
        <f>ROUNDUP(Motor_4P_IE2_T[[#This Row],[Rated FL Amp (415V)(3Ph)]]*((SQRT(3)*$E$1)/$F$1),1)</f>
        <v>193.5</v>
      </c>
      <c r="G16" s="1">
        <v>92.7</v>
      </c>
      <c r="H16" s="1" t="s">
        <v>20</v>
      </c>
      <c r="I16" s="1">
        <v>0.86</v>
      </c>
      <c r="J16" s="1" t="s">
        <v>20</v>
      </c>
      <c r="K16" s="1">
        <v>317</v>
      </c>
      <c r="L16" s="1" t="s">
        <v>251</v>
      </c>
    </row>
    <row r="17" spans="2:12" x14ac:dyDescent="0.3">
      <c r="B17" s="1">
        <v>60</v>
      </c>
      <c r="C17" s="1" t="s">
        <v>339</v>
      </c>
      <c r="D17" s="1">
        <v>1480</v>
      </c>
      <c r="E17" s="1">
        <v>78.2</v>
      </c>
      <c r="F17" s="1">
        <f>ROUNDUP(Motor_4P_IE2_T[[#This Row],[Rated FL Amp (415V)(3Ph)]]*((SQRT(3)*$E$1)/$F$1),1)</f>
        <v>234.29999999999998</v>
      </c>
      <c r="G17" s="1">
        <v>93.1</v>
      </c>
      <c r="H17" s="1" t="s">
        <v>20</v>
      </c>
      <c r="I17" s="1">
        <v>0.86</v>
      </c>
      <c r="J17" s="1" t="s">
        <v>20</v>
      </c>
      <c r="K17" s="1">
        <v>328</v>
      </c>
      <c r="L17" s="1" t="s">
        <v>252</v>
      </c>
    </row>
    <row r="18" spans="2:12" x14ac:dyDescent="0.3">
      <c r="B18" s="1">
        <v>75</v>
      </c>
      <c r="C18" s="1" t="s">
        <v>340</v>
      </c>
      <c r="D18" s="1">
        <v>1480</v>
      </c>
      <c r="E18" s="1">
        <v>95.4</v>
      </c>
      <c r="F18" s="1">
        <f>ROUNDUP(Motor_4P_IE2_T[[#This Row],[Rated FL Amp (415V)(3Ph)]]*((SQRT(3)*$E$1)/$F$1),1)</f>
        <v>285.8</v>
      </c>
      <c r="G18" s="1">
        <v>93.5</v>
      </c>
      <c r="H18" s="1" t="s">
        <v>20</v>
      </c>
      <c r="I18" s="1">
        <v>0.86</v>
      </c>
      <c r="J18" s="1" t="s">
        <v>20</v>
      </c>
      <c r="K18" s="1">
        <v>433</v>
      </c>
      <c r="L18" s="1" t="s">
        <v>253</v>
      </c>
    </row>
    <row r="19" spans="2:12" x14ac:dyDescent="0.3">
      <c r="B19" s="1">
        <v>100</v>
      </c>
      <c r="C19" s="1" t="s">
        <v>341</v>
      </c>
      <c r="D19" s="1">
        <v>1480</v>
      </c>
      <c r="E19" s="1">
        <v>127.2</v>
      </c>
      <c r="F19" s="1">
        <f>ROUNDUP(Motor_4P_IE2_T[[#This Row],[Rated FL Amp (415V)(3Ph)]]*((SQRT(3)*$E$1)/$F$1),1)</f>
        <v>381</v>
      </c>
      <c r="G19" s="1">
        <v>94</v>
      </c>
      <c r="H19" s="1" t="s">
        <v>20</v>
      </c>
      <c r="I19" s="1">
        <v>0.87</v>
      </c>
      <c r="J19" s="1" t="s">
        <v>20</v>
      </c>
      <c r="K19" s="1">
        <v>572</v>
      </c>
      <c r="L19" s="1" t="s">
        <v>254</v>
      </c>
    </row>
    <row r="20" spans="2:12" x14ac:dyDescent="0.3">
      <c r="B20" s="1">
        <v>125</v>
      </c>
      <c r="C20" s="1" t="s">
        <v>342</v>
      </c>
      <c r="D20" s="1">
        <v>1480</v>
      </c>
      <c r="E20" s="1">
        <v>151.30000000000001</v>
      </c>
      <c r="F20" s="1">
        <f>ROUNDUP(Motor_4P_IE2_T[[#This Row],[Rated FL Amp (415V)(3Ph)]]*((SQRT(3)*$E$1)/$F$1),1)</f>
        <v>453.20000000000005</v>
      </c>
      <c r="G20" s="1">
        <v>94.2</v>
      </c>
      <c r="H20" s="1" t="s">
        <v>20</v>
      </c>
      <c r="I20" s="1">
        <v>0.88</v>
      </c>
      <c r="J20" s="1" t="s">
        <v>20</v>
      </c>
      <c r="K20" s="1">
        <v>632</v>
      </c>
      <c r="L20" s="1" t="s">
        <v>255</v>
      </c>
    </row>
    <row r="21" spans="2:12" x14ac:dyDescent="0.3">
      <c r="B21" s="1">
        <v>150</v>
      </c>
      <c r="C21" s="1" t="s">
        <v>343</v>
      </c>
      <c r="D21" s="1">
        <v>1480</v>
      </c>
      <c r="E21" s="1">
        <v>182.2</v>
      </c>
      <c r="F21" s="1">
        <f>ROUNDUP(Motor_4P_IE2_T[[#This Row],[Rated FL Amp (415V)(3Ph)]]*((SQRT(3)*$E$1)/$F$1),1)</f>
        <v>545.70000000000005</v>
      </c>
      <c r="G21" s="1">
        <v>94.5</v>
      </c>
      <c r="H21" s="1" t="s">
        <v>20</v>
      </c>
      <c r="I21" s="1">
        <v>0.89</v>
      </c>
      <c r="J21" s="1" t="s">
        <v>20</v>
      </c>
      <c r="K21" s="1">
        <v>950</v>
      </c>
      <c r="L21" s="1" t="s">
        <v>256</v>
      </c>
    </row>
    <row r="22" spans="2:12" x14ac:dyDescent="0.3">
      <c r="B22" s="1">
        <v>175</v>
      </c>
      <c r="C22" s="1" t="s">
        <v>344</v>
      </c>
      <c r="D22" s="1">
        <v>1480</v>
      </c>
      <c r="E22" s="1">
        <v>217.8</v>
      </c>
      <c r="F22" s="1">
        <f>ROUNDUP(Motor_4P_IE2_T[[#This Row],[Rated FL Amp (415V)(3Ph)]]*((SQRT(3)*$E$1)/$F$1),1)</f>
        <v>652.4</v>
      </c>
      <c r="G22" s="1">
        <v>94.7</v>
      </c>
      <c r="H22" s="1" t="s">
        <v>20</v>
      </c>
      <c r="I22" s="1">
        <v>0.89</v>
      </c>
      <c r="J22" s="1" t="s">
        <v>20</v>
      </c>
      <c r="K22" s="1">
        <v>1080</v>
      </c>
      <c r="L22" s="1" t="s">
        <v>257</v>
      </c>
    </row>
    <row r="23" spans="2:12" x14ac:dyDescent="0.3">
      <c r="B23" s="1">
        <v>215</v>
      </c>
      <c r="C23" s="1" t="s">
        <v>345</v>
      </c>
      <c r="D23" s="1">
        <v>1480</v>
      </c>
      <c r="E23" s="1">
        <v>260.2</v>
      </c>
      <c r="F23" s="1">
        <f>ROUNDUP(Motor_4P_IE2_T[[#This Row],[Rated FL Amp (415V)(3Ph)]]*((SQRT(3)*$E$1)/$F$1),1)</f>
        <v>779.4</v>
      </c>
      <c r="G23" s="1">
        <v>94.9</v>
      </c>
      <c r="H23" s="1" t="s">
        <v>20</v>
      </c>
      <c r="I23" s="1">
        <v>0.9</v>
      </c>
      <c r="J23" s="1" t="s">
        <v>20</v>
      </c>
      <c r="K23" s="1">
        <v>1210</v>
      </c>
      <c r="L23" s="1" t="s">
        <v>258</v>
      </c>
    </row>
    <row r="24" spans="2:12" x14ac:dyDescent="0.3">
      <c r="B24" s="1">
        <v>270</v>
      </c>
      <c r="C24" s="1" t="s">
        <v>346</v>
      </c>
      <c r="D24" s="1">
        <v>1480</v>
      </c>
      <c r="E24" s="1">
        <v>324.8</v>
      </c>
      <c r="F24" s="1">
        <f>ROUNDUP(Motor_4P_IE2_T[[#This Row],[Rated FL Amp (415V)(3Ph)]]*((SQRT(3)*$E$1)/$F$1),1)</f>
        <v>972.80000000000007</v>
      </c>
      <c r="G24" s="1">
        <v>95.1</v>
      </c>
      <c r="H24" s="1" t="s">
        <v>20</v>
      </c>
      <c r="I24" s="1">
        <v>0.9</v>
      </c>
      <c r="J24" s="1" t="s">
        <v>20</v>
      </c>
      <c r="K24" s="1">
        <v>1240</v>
      </c>
      <c r="L24" s="1" t="s">
        <v>258</v>
      </c>
    </row>
    <row r="25" spans="2:12" x14ac:dyDescent="0.3">
      <c r="B25" s="1">
        <v>335</v>
      </c>
      <c r="C25" s="1" t="s">
        <v>347</v>
      </c>
      <c r="D25" s="1">
        <v>1490</v>
      </c>
      <c r="E25" s="1">
        <v>406.7</v>
      </c>
      <c r="F25" s="1">
        <f>ROUNDUP(Motor_4P_IE2_T[[#This Row],[Rated FL Amp (415V)(3Ph)]]*((SQRT(3)*$E$1)/$F$1),1)</f>
        <v>1218.0999999999999</v>
      </c>
      <c r="G25" s="1">
        <v>95.1</v>
      </c>
      <c r="H25" s="1" t="s">
        <v>20</v>
      </c>
      <c r="I25" s="1">
        <v>0.9</v>
      </c>
      <c r="J25" s="1" t="s">
        <v>20</v>
      </c>
      <c r="K25" s="1">
        <v>1970</v>
      </c>
      <c r="L25" s="1" t="s">
        <v>259</v>
      </c>
    </row>
    <row r="26" spans="2:12" x14ac:dyDescent="0.3">
      <c r="B26" s="1">
        <v>420</v>
      </c>
      <c r="C26" s="1" t="s">
        <v>348</v>
      </c>
      <c r="D26" s="1">
        <v>1490</v>
      </c>
      <c r="E26" s="1">
        <v>511.8</v>
      </c>
      <c r="F26" s="1">
        <f>ROUNDUP(Motor_4P_IE2_T[[#This Row],[Rated FL Amp (415V)(3Ph)]]*((SQRT(3)*$E$1)/$F$1),1)</f>
        <v>1532.8999999999999</v>
      </c>
      <c r="G26" s="1">
        <v>95.1</v>
      </c>
      <c r="H26" s="1" t="s">
        <v>20</v>
      </c>
      <c r="I26" s="1">
        <v>0.9</v>
      </c>
      <c r="J26" s="1" t="s">
        <v>20</v>
      </c>
      <c r="K26" s="1">
        <v>2000</v>
      </c>
      <c r="L26" s="1" t="s">
        <v>260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BBE-2607-403C-A40E-F304F8A23C72}">
  <dimension ref="B1:L28"/>
  <sheetViews>
    <sheetView topLeftCell="B1" workbookViewId="0">
      <selection activeCell="L5" sqref="L5:L28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</cols>
  <sheetData>
    <row r="1" spans="2:12" x14ac:dyDescent="0.3">
      <c r="E1" s="1">
        <v>415</v>
      </c>
      <c r="F1" s="1">
        <v>240</v>
      </c>
    </row>
    <row r="2" spans="2:12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</row>
    <row r="3" spans="2:12" x14ac:dyDescent="0.3">
      <c r="B3" s="1">
        <v>0.5</v>
      </c>
      <c r="C3" s="1" t="s">
        <v>136</v>
      </c>
      <c r="D3" s="1">
        <v>2800</v>
      </c>
      <c r="E3" s="1">
        <v>0.84</v>
      </c>
      <c r="F3" s="1">
        <f>ROUNDUP(Motor_2P_IE3_T[[#This Row],[Rated FL Amp (415V)(3Ph)]]*((SQRT(3)*$E$1)/$F$1),1)</f>
        <v>2.6</v>
      </c>
      <c r="G3" s="1">
        <v>74.8</v>
      </c>
      <c r="H3" s="1" t="s">
        <v>20</v>
      </c>
      <c r="I3" s="1">
        <v>0.8</v>
      </c>
      <c r="J3" s="1" t="s">
        <v>20</v>
      </c>
      <c r="K3" s="1">
        <v>6.2</v>
      </c>
      <c r="L3" s="1" t="s">
        <v>211</v>
      </c>
    </row>
    <row r="4" spans="2:12" x14ac:dyDescent="0.3">
      <c r="B4" s="1">
        <v>0.75</v>
      </c>
      <c r="C4" s="1" t="s">
        <v>137</v>
      </c>
      <c r="D4" s="1">
        <v>2800</v>
      </c>
      <c r="E4" s="1">
        <v>1.18</v>
      </c>
      <c r="F4" s="1">
        <f>ROUNDUP(Motor_2P_IE3_T[[#This Row],[Rated FL Amp (415V)(3Ph)]]*((SQRT(3)*$E$1)/$F$1),1)</f>
        <v>3.6</v>
      </c>
      <c r="G4" s="1">
        <v>77.2</v>
      </c>
      <c r="H4" s="1" t="s">
        <v>20</v>
      </c>
      <c r="I4" s="1">
        <v>0.82</v>
      </c>
      <c r="K4" s="1">
        <v>7.4</v>
      </c>
      <c r="L4" s="1" t="s">
        <v>211</v>
      </c>
    </row>
    <row r="5" spans="2:12" x14ac:dyDescent="0.3">
      <c r="B5" s="1">
        <v>1</v>
      </c>
      <c r="C5" s="1" t="s">
        <v>138</v>
      </c>
      <c r="D5" s="1">
        <v>2870</v>
      </c>
      <c r="E5" s="1">
        <v>1.58</v>
      </c>
      <c r="F5" s="1">
        <f>ROUNDUP(Motor_2P_IE3_T[[#This Row],[Rated FL Amp (415V)(3Ph)]]*((SQRT(3)*$E$1)/$F$1),1)</f>
        <v>4.8</v>
      </c>
      <c r="G5" s="1">
        <v>80.7</v>
      </c>
      <c r="H5" s="1" t="s">
        <v>20</v>
      </c>
      <c r="I5" s="1">
        <v>0.82</v>
      </c>
      <c r="J5" s="1" t="s">
        <v>20</v>
      </c>
      <c r="K5" s="1">
        <v>18</v>
      </c>
      <c r="L5" s="1" t="s">
        <v>192</v>
      </c>
    </row>
    <row r="6" spans="2:12" x14ac:dyDescent="0.3">
      <c r="B6" s="1">
        <v>1.5</v>
      </c>
      <c r="C6" s="1" t="s">
        <v>139</v>
      </c>
      <c r="D6" s="1">
        <v>2875</v>
      </c>
      <c r="E6" s="1">
        <v>2.23</v>
      </c>
      <c r="F6" s="1">
        <f>ROUNDUP(Motor_2P_IE3_T[[#This Row],[Rated FL Amp (415V)(3Ph)]]*((SQRT(3)*$E$1)/$F$1),1)</f>
        <v>6.6999999999999993</v>
      </c>
      <c r="G6" s="1">
        <v>82.7</v>
      </c>
      <c r="H6" s="1" t="s">
        <v>20</v>
      </c>
      <c r="I6" s="1">
        <v>0.83</v>
      </c>
      <c r="J6" s="1" t="s">
        <v>20</v>
      </c>
      <c r="K6" s="1">
        <v>19</v>
      </c>
      <c r="L6" s="1" t="s">
        <v>192</v>
      </c>
    </row>
    <row r="7" spans="2:12" x14ac:dyDescent="0.3">
      <c r="B7" s="1">
        <v>2</v>
      </c>
      <c r="C7" s="1" t="s">
        <v>140</v>
      </c>
      <c r="D7" s="1">
        <v>2880</v>
      </c>
      <c r="E7" s="1">
        <v>2.95</v>
      </c>
      <c r="F7" s="1">
        <f>ROUNDUP(Motor_2P_IE3_T[[#This Row],[Rated FL Amp (415V)(3Ph)]]*((SQRT(3)*$E$1)/$F$1),1)</f>
        <v>8.9</v>
      </c>
      <c r="G7" s="1">
        <v>84.2</v>
      </c>
      <c r="H7" s="1" t="s">
        <v>20</v>
      </c>
      <c r="I7" s="1">
        <v>0.84</v>
      </c>
      <c r="J7" s="1" t="s">
        <v>20</v>
      </c>
      <c r="K7" s="1">
        <v>22</v>
      </c>
      <c r="L7" s="1" t="s">
        <v>193</v>
      </c>
    </row>
    <row r="8" spans="2:12" x14ac:dyDescent="0.3">
      <c r="B8" s="1">
        <v>3</v>
      </c>
      <c r="C8" s="1" t="s">
        <v>141</v>
      </c>
      <c r="D8" s="1">
        <v>2880</v>
      </c>
      <c r="E8" s="1">
        <v>4.1900000000000004</v>
      </c>
      <c r="F8" s="1">
        <f>ROUNDUP(Motor_2P_IE3_T[[#This Row],[Rated FL Amp (415V)(3Ph)]]*((SQRT(3)*$E$1)/$F$1),1)</f>
        <v>12.6</v>
      </c>
      <c r="G8" s="1">
        <v>85.9</v>
      </c>
      <c r="H8" s="1" t="s">
        <v>20</v>
      </c>
      <c r="I8" s="1">
        <v>0.85</v>
      </c>
      <c r="J8" s="1" t="s">
        <v>20</v>
      </c>
      <c r="K8" s="1">
        <v>25</v>
      </c>
      <c r="L8" s="1" t="s">
        <v>194</v>
      </c>
    </row>
    <row r="9" spans="2:12" x14ac:dyDescent="0.3">
      <c r="B9" s="1">
        <v>4</v>
      </c>
      <c r="C9" s="1" t="s">
        <v>142</v>
      </c>
      <c r="D9" s="1">
        <v>2880</v>
      </c>
      <c r="E9" s="1">
        <v>5.5</v>
      </c>
      <c r="F9" s="1">
        <f>ROUNDUP(Motor_2P_IE3_T[[#This Row],[Rated FL Amp (415V)(3Ph)]]*((SQRT(3)*$E$1)/$F$1),1)</f>
        <v>16.5</v>
      </c>
      <c r="G9" s="1">
        <v>87.1</v>
      </c>
      <c r="H9" s="1" t="s">
        <v>20</v>
      </c>
      <c r="I9" s="1">
        <v>0.87</v>
      </c>
      <c r="J9" s="1" t="s">
        <v>20</v>
      </c>
      <c r="K9" s="1">
        <v>37</v>
      </c>
      <c r="L9" s="1" t="s">
        <v>195</v>
      </c>
    </row>
    <row r="10" spans="2:12" x14ac:dyDescent="0.3">
      <c r="B10" s="1">
        <v>5.5</v>
      </c>
      <c r="C10" s="1" t="s">
        <v>143</v>
      </c>
      <c r="D10" s="1">
        <v>2915</v>
      </c>
      <c r="E10" s="1">
        <v>7.18</v>
      </c>
      <c r="F10" s="1">
        <f>ROUNDUP(Motor_2P_IE3_T[[#This Row],[Rated FL Amp (415V)(3Ph)]]*((SQRT(3)*$E$1)/$F$1),1)</f>
        <v>21.6</v>
      </c>
      <c r="G10" s="1">
        <v>88.1</v>
      </c>
      <c r="H10" s="1" t="s">
        <v>20</v>
      </c>
      <c r="I10" s="1">
        <v>0.88</v>
      </c>
      <c r="J10" s="1" t="s">
        <v>20</v>
      </c>
      <c r="K10" s="1">
        <v>47</v>
      </c>
      <c r="L10" s="1" t="s">
        <v>196</v>
      </c>
    </row>
    <row r="11" spans="2:12" x14ac:dyDescent="0.3">
      <c r="B11" s="1">
        <v>7.5</v>
      </c>
      <c r="C11" s="1" t="s">
        <v>144</v>
      </c>
      <c r="D11" s="1">
        <v>2935</v>
      </c>
      <c r="E11" s="1">
        <v>9.73</v>
      </c>
      <c r="F11" s="1">
        <f>ROUNDUP(Motor_2P_IE3_T[[#This Row],[Rated FL Amp (415V)(3Ph)]]*((SQRT(3)*$E$1)/$F$1),1)</f>
        <v>29.200000000000003</v>
      </c>
      <c r="G11" s="1">
        <v>89.2</v>
      </c>
      <c r="H11" s="1" t="s">
        <v>20</v>
      </c>
      <c r="I11" s="1">
        <v>0.88</v>
      </c>
      <c r="J11" s="1" t="s">
        <v>20</v>
      </c>
      <c r="K11" s="1">
        <v>68</v>
      </c>
      <c r="L11" s="1" t="s">
        <v>197</v>
      </c>
    </row>
    <row r="12" spans="2:12" x14ac:dyDescent="0.3">
      <c r="B12" s="1">
        <v>10</v>
      </c>
      <c r="C12" s="1" t="s">
        <v>145</v>
      </c>
      <c r="D12" s="1">
        <v>2930</v>
      </c>
      <c r="E12" s="1">
        <v>13.2</v>
      </c>
      <c r="F12" s="1">
        <f>ROUNDUP(Motor_2P_IE3_T[[#This Row],[Rated FL Amp (415V)(3Ph)]]*((SQRT(3)*$E$1)/$F$1),1)</f>
        <v>39.6</v>
      </c>
      <c r="G12" s="1">
        <v>90.1</v>
      </c>
      <c r="H12" s="1" t="s">
        <v>20</v>
      </c>
      <c r="I12" s="1">
        <v>0.88</v>
      </c>
      <c r="J12" s="1" t="s">
        <v>20</v>
      </c>
      <c r="K12" s="1">
        <v>75</v>
      </c>
      <c r="L12" s="1" t="s">
        <v>197</v>
      </c>
    </row>
    <row r="13" spans="2:12" x14ac:dyDescent="0.3">
      <c r="B13" s="1">
        <v>15</v>
      </c>
      <c r="C13" s="1" t="s">
        <v>146</v>
      </c>
      <c r="D13" s="1">
        <v>2940</v>
      </c>
      <c r="E13" s="1">
        <v>18.899999999999999</v>
      </c>
      <c r="F13" s="1">
        <f>ROUNDUP(Motor_2P_IE3_T[[#This Row],[Rated FL Amp (415V)(3Ph)]]*((SQRT(3)*$E$1)/$F$1),1)</f>
        <v>56.7</v>
      </c>
      <c r="G13" s="1">
        <v>91.2</v>
      </c>
      <c r="H13" s="1" t="s">
        <v>20</v>
      </c>
      <c r="I13" s="1">
        <v>0.89</v>
      </c>
      <c r="J13" s="1" t="s">
        <v>20</v>
      </c>
      <c r="K13" s="1">
        <v>122</v>
      </c>
      <c r="L13" s="1" t="s">
        <v>198</v>
      </c>
    </row>
    <row r="14" spans="2:12" x14ac:dyDescent="0.3">
      <c r="B14" s="1">
        <v>20</v>
      </c>
      <c r="C14" s="1" t="s">
        <v>147</v>
      </c>
      <c r="D14" s="1">
        <v>2945</v>
      </c>
      <c r="E14" s="1">
        <v>25.5</v>
      </c>
      <c r="F14" s="1">
        <f>ROUNDUP(Motor_2P_IE3_T[[#This Row],[Rated FL Amp (415V)(3Ph)]]*((SQRT(3)*$E$1)/$F$1),1)</f>
        <v>76.399999999999991</v>
      </c>
      <c r="G14" s="1">
        <v>91.9</v>
      </c>
      <c r="H14" s="1" t="s">
        <v>20</v>
      </c>
      <c r="I14" s="1">
        <v>0.89</v>
      </c>
      <c r="J14" s="1" t="s">
        <v>20</v>
      </c>
      <c r="K14" s="1">
        <v>131</v>
      </c>
      <c r="L14" s="1" t="s">
        <v>198</v>
      </c>
    </row>
    <row r="15" spans="2:12" x14ac:dyDescent="0.3">
      <c r="B15" s="1">
        <v>25</v>
      </c>
      <c r="C15" s="1" t="s">
        <v>148</v>
      </c>
      <c r="D15" s="1">
        <v>2945</v>
      </c>
      <c r="E15" s="1">
        <v>31.3</v>
      </c>
      <c r="F15" s="1">
        <f>ROUNDUP(Motor_2P_IE3_T[[#This Row],[Rated FL Amp (415V)(3Ph)]]*((SQRT(3)*$E$1)/$F$1),1)</f>
        <v>93.8</v>
      </c>
      <c r="G15" s="1">
        <v>92.4</v>
      </c>
      <c r="H15" s="1" t="s">
        <v>20</v>
      </c>
      <c r="I15" s="1">
        <v>0.89</v>
      </c>
      <c r="J15" s="1" t="s">
        <v>20</v>
      </c>
      <c r="K15" s="1">
        <v>150</v>
      </c>
      <c r="L15" s="1" t="s">
        <v>199</v>
      </c>
    </row>
    <row r="16" spans="2:12" x14ac:dyDescent="0.3">
      <c r="B16" s="1">
        <v>30</v>
      </c>
      <c r="C16" s="1" t="s">
        <v>149</v>
      </c>
      <c r="D16" s="1">
        <v>2950</v>
      </c>
      <c r="E16" s="1">
        <v>37.1</v>
      </c>
      <c r="F16" s="1">
        <f>ROUNDUP(Motor_2P_IE3_T[[#This Row],[Rated FL Amp (415V)(3Ph)]]*((SQRT(3)*$E$1)/$F$1),1)</f>
        <v>111.19999999999999</v>
      </c>
      <c r="G16" s="1">
        <v>92.7</v>
      </c>
      <c r="H16" s="1" t="s">
        <v>20</v>
      </c>
      <c r="I16" s="1">
        <v>0.89</v>
      </c>
      <c r="J16" s="1" t="s">
        <v>20</v>
      </c>
      <c r="K16" s="1">
        <v>193</v>
      </c>
      <c r="L16" s="1" t="s">
        <v>200</v>
      </c>
    </row>
    <row r="17" spans="2:12" x14ac:dyDescent="0.3">
      <c r="B17" s="1">
        <v>40</v>
      </c>
      <c r="C17" s="1" t="s">
        <v>150</v>
      </c>
      <c r="D17" s="1">
        <v>2965</v>
      </c>
      <c r="E17" s="1">
        <v>50.2</v>
      </c>
      <c r="F17" s="1">
        <f>ROUNDUP(Motor_2P_IE3_T[[#This Row],[Rated FL Amp (415V)(3Ph)]]*((SQRT(3)*$E$1)/$F$1),1)</f>
        <v>150.4</v>
      </c>
      <c r="G17" s="1">
        <v>93.3</v>
      </c>
      <c r="H17" s="1" t="s">
        <v>20</v>
      </c>
      <c r="I17" s="1">
        <v>0.89</v>
      </c>
      <c r="J17" s="1" t="s">
        <v>20</v>
      </c>
      <c r="K17" s="1">
        <v>255</v>
      </c>
      <c r="L17" s="1" t="s">
        <v>201</v>
      </c>
    </row>
    <row r="18" spans="2:12" x14ac:dyDescent="0.3">
      <c r="B18" s="1">
        <v>50</v>
      </c>
      <c r="C18" s="1" t="s">
        <v>151</v>
      </c>
      <c r="D18" s="1">
        <v>2965</v>
      </c>
      <c r="E18" s="1">
        <v>61.7</v>
      </c>
      <c r="F18" s="1">
        <f>ROUNDUP(Motor_2P_IE3_T[[#This Row],[Rated FL Amp (415V)(3Ph)]]*((SQRT(3)*$E$1)/$F$1),1)</f>
        <v>184.79999999999998</v>
      </c>
      <c r="G18" s="1">
        <v>93.7</v>
      </c>
      <c r="H18" s="1" t="s">
        <v>20</v>
      </c>
      <c r="I18" s="1">
        <v>0.89</v>
      </c>
      <c r="J18" s="1" t="s">
        <v>20</v>
      </c>
      <c r="K18" s="1">
        <v>275</v>
      </c>
      <c r="L18" s="1" t="s">
        <v>201</v>
      </c>
    </row>
    <row r="19" spans="2:12" x14ac:dyDescent="0.3">
      <c r="B19" s="1">
        <v>60</v>
      </c>
      <c r="C19" s="1" t="s">
        <v>152</v>
      </c>
      <c r="D19" s="1">
        <v>2965</v>
      </c>
      <c r="E19" s="1">
        <v>74</v>
      </c>
      <c r="F19" s="1">
        <f>ROUNDUP(Motor_2P_IE3_T[[#This Row],[Rated FL Amp (415V)(3Ph)]]*((SQRT(3)*$E$1)/$F$1),1)</f>
        <v>221.7</v>
      </c>
      <c r="G19" s="1">
        <v>94</v>
      </c>
      <c r="H19" s="1" t="s">
        <v>20</v>
      </c>
      <c r="I19" s="1">
        <v>0.9</v>
      </c>
      <c r="J19" s="1" t="s">
        <v>20</v>
      </c>
      <c r="K19" s="1">
        <v>326</v>
      </c>
      <c r="L19" s="1" t="s">
        <v>202</v>
      </c>
    </row>
    <row r="20" spans="2:12" x14ac:dyDescent="0.3">
      <c r="B20" s="1">
        <v>75</v>
      </c>
      <c r="C20" s="1" t="s">
        <v>153</v>
      </c>
      <c r="D20" s="1">
        <v>2975</v>
      </c>
      <c r="E20" s="1">
        <v>90.1</v>
      </c>
      <c r="F20" s="1">
        <f>ROUNDUP(Motor_2P_IE3_T[[#This Row],[Rated FL Amp (415V)(3Ph)]]*((SQRT(3)*$E$1)/$F$1),1)</f>
        <v>269.90000000000003</v>
      </c>
      <c r="G20" s="1">
        <v>94.3</v>
      </c>
      <c r="H20" s="1" t="s">
        <v>20</v>
      </c>
      <c r="I20" s="1">
        <v>0.9</v>
      </c>
      <c r="J20" s="1" t="s">
        <v>20</v>
      </c>
      <c r="K20" s="1">
        <v>417</v>
      </c>
      <c r="L20" s="1" t="s">
        <v>203</v>
      </c>
    </row>
    <row r="21" spans="2:12" x14ac:dyDescent="0.3">
      <c r="B21" s="1">
        <v>100</v>
      </c>
      <c r="C21" s="1" t="s">
        <v>154</v>
      </c>
      <c r="D21" s="1">
        <v>2975</v>
      </c>
      <c r="E21" s="1">
        <v>122.4</v>
      </c>
      <c r="F21" s="1">
        <f>ROUNDUP(Motor_2P_IE3_T[[#This Row],[Rated FL Amp (415V)(3Ph)]]*((SQRT(3)*$E$1)/$F$1),1)</f>
        <v>366.6</v>
      </c>
      <c r="G21" s="1">
        <v>94.7</v>
      </c>
      <c r="H21" s="1" t="s">
        <v>20</v>
      </c>
      <c r="I21" s="1">
        <v>0.9</v>
      </c>
      <c r="J21" s="1" t="s">
        <v>20</v>
      </c>
      <c r="K21" s="1">
        <v>540</v>
      </c>
      <c r="L21" s="1" t="s">
        <v>204</v>
      </c>
    </row>
    <row r="22" spans="2:12" x14ac:dyDescent="0.3">
      <c r="B22" s="1">
        <v>125</v>
      </c>
      <c r="C22" s="1" t="s">
        <v>155</v>
      </c>
      <c r="D22" s="1">
        <v>2975</v>
      </c>
      <c r="E22" s="1">
        <v>146.5</v>
      </c>
      <c r="F22" s="1">
        <f>ROUNDUP(Motor_2P_IE3_T[[#This Row],[Rated FL Amp (415V)(3Ph)]]*((SQRT(3)*$E$1)/$F$1),1)</f>
        <v>438.8</v>
      </c>
      <c r="G22" s="1">
        <v>95</v>
      </c>
      <c r="H22" s="1" t="s">
        <v>20</v>
      </c>
      <c r="I22" s="1">
        <v>0.9</v>
      </c>
      <c r="J22" s="1" t="s">
        <v>20</v>
      </c>
      <c r="K22" s="1">
        <v>596</v>
      </c>
      <c r="L22" s="1" t="s">
        <v>205</v>
      </c>
    </row>
    <row r="23" spans="2:12" x14ac:dyDescent="0.3">
      <c r="B23" s="1">
        <v>150</v>
      </c>
      <c r="C23" s="1" t="s">
        <v>156</v>
      </c>
      <c r="D23" s="1">
        <v>2985</v>
      </c>
      <c r="E23" s="1">
        <v>178.3</v>
      </c>
      <c r="F23" s="1">
        <f>ROUNDUP(Motor_2P_IE3_T[[#This Row],[Rated FL Amp (415V)(3Ph)]]*((SQRT(3)*$E$1)/$F$1),1)</f>
        <v>534.1</v>
      </c>
      <c r="G23" s="1">
        <v>95.2</v>
      </c>
      <c r="H23" s="1" t="s">
        <v>20</v>
      </c>
      <c r="I23" s="1">
        <v>0.9</v>
      </c>
      <c r="J23" s="1" t="s">
        <v>20</v>
      </c>
      <c r="K23" s="1">
        <v>965</v>
      </c>
      <c r="L23" s="1" t="s">
        <v>206</v>
      </c>
    </row>
    <row r="24" spans="2:12" x14ac:dyDescent="0.3">
      <c r="B24" s="1">
        <v>175</v>
      </c>
      <c r="C24" s="1" t="s">
        <v>157</v>
      </c>
      <c r="D24" s="1">
        <v>2985</v>
      </c>
      <c r="E24" s="1">
        <v>215.9</v>
      </c>
      <c r="F24" s="1">
        <f>ROUNDUP(Motor_2P_IE3_T[[#This Row],[Rated FL Amp (415V)(3Ph)]]*((SQRT(3)*$E$1)/$F$1),1)</f>
        <v>646.70000000000005</v>
      </c>
      <c r="G24" s="1">
        <v>94.5</v>
      </c>
      <c r="H24" s="1" t="s">
        <v>20</v>
      </c>
      <c r="I24" s="1">
        <v>0.9</v>
      </c>
      <c r="J24" s="1" t="s">
        <v>20</v>
      </c>
      <c r="K24" s="1">
        <v>1070</v>
      </c>
      <c r="L24" s="1" t="s">
        <v>207</v>
      </c>
    </row>
    <row r="25" spans="2:12" x14ac:dyDescent="0.3">
      <c r="B25" s="1">
        <v>215</v>
      </c>
      <c r="C25" s="1" t="s">
        <v>158</v>
      </c>
      <c r="D25" s="1">
        <v>2985</v>
      </c>
      <c r="E25" s="1">
        <v>255.4</v>
      </c>
      <c r="F25" s="1">
        <f>ROUNDUP(Motor_2P_IE3_T[[#This Row],[Rated FL Amp (415V)(3Ph)]]*((SQRT(3)*$E$1)/$F$1),1)</f>
        <v>765</v>
      </c>
      <c r="G25" s="1">
        <v>95.6</v>
      </c>
      <c r="H25" s="1" t="s">
        <v>20</v>
      </c>
      <c r="I25" s="1">
        <v>0.91</v>
      </c>
      <c r="J25" s="1" t="s">
        <v>20</v>
      </c>
      <c r="K25" s="1">
        <v>1150</v>
      </c>
      <c r="L25" s="1" t="s">
        <v>208</v>
      </c>
    </row>
    <row r="26" spans="2:12" x14ac:dyDescent="0.3">
      <c r="B26" s="1">
        <v>270</v>
      </c>
      <c r="C26" s="1" t="s">
        <v>159</v>
      </c>
      <c r="D26" s="1">
        <v>2985</v>
      </c>
      <c r="E26" s="1">
        <v>319</v>
      </c>
      <c r="F26" s="1">
        <f>ROUNDUP(Motor_2P_IE3_T[[#This Row],[Rated FL Amp (415V)(3Ph)]]*((SQRT(3)*$E$1)/$F$1),1)</f>
        <v>955.5</v>
      </c>
      <c r="G26" s="1">
        <v>95.8</v>
      </c>
      <c r="H26" s="1" t="s">
        <v>20</v>
      </c>
      <c r="I26" s="1">
        <v>0.91</v>
      </c>
      <c r="J26" s="1" t="s">
        <v>20</v>
      </c>
      <c r="K26" s="1">
        <v>1219</v>
      </c>
      <c r="L26" s="1" t="s">
        <v>208</v>
      </c>
    </row>
    <row r="27" spans="2:12" x14ac:dyDescent="0.3">
      <c r="B27" s="1">
        <v>335</v>
      </c>
      <c r="C27" s="1" t="s">
        <v>160</v>
      </c>
      <c r="D27" s="1">
        <v>2985</v>
      </c>
      <c r="E27" s="1">
        <v>399</v>
      </c>
      <c r="F27" s="1">
        <f>ROUNDUP(Motor_2P_IE3_T[[#This Row],[Rated FL Amp (415V)(3Ph)]]*((SQRT(3)*$E$1)/$F$1),1)</f>
        <v>1195.0999999999999</v>
      </c>
      <c r="G27" s="1">
        <v>95.8</v>
      </c>
      <c r="H27" s="1" t="s">
        <v>20</v>
      </c>
      <c r="I27" s="1">
        <v>0.91</v>
      </c>
      <c r="J27" s="1" t="s">
        <v>20</v>
      </c>
      <c r="K27" s="1">
        <v>1670</v>
      </c>
      <c r="L27" s="1" t="s">
        <v>209</v>
      </c>
    </row>
    <row r="28" spans="2:12" x14ac:dyDescent="0.3">
      <c r="B28" s="1">
        <v>420</v>
      </c>
      <c r="C28" s="1" t="s">
        <v>161</v>
      </c>
      <c r="D28" s="1">
        <v>2985</v>
      </c>
      <c r="E28" s="1">
        <v>503.1</v>
      </c>
      <c r="F28" s="1">
        <f>ROUNDUP(Motor_2P_IE3_T[[#This Row],[Rated FL Amp (415V)(3Ph)]]*((SQRT(3)*$E$1)/$F$1),1)</f>
        <v>1506.8</v>
      </c>
      <c r="G28" s="1">
        <v>95.8</v>
      </c>
      <c r="H28" s="1" t="s">
        <v>20</v>
      </c>
      <c r="I28" s="1">
        <v>0.91</v>
      </c>
      <c r="J28" s="1" t="s">
        <v>20</v>
      </c>
      <c r="K28" s="1">
        <v>1865</v>
      </c>
      <c r="L28" s="1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47D7-7F43-469F-899E-347866576D3B}">
  <dimension ref="B1:L28"/>
  <sheetViews>
    <sheetView topLeftCell="C1" workbookViewId="0">
      <selection activeCell="K4" sqref="K4:L4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</cols>
  <sheetData>
    <row r="1" spans="2:12" x14ac:dyDescent="0.3">
      <c r="E1" s="1">
        <v>415</v>
      </c>
      <c r="F1" s="1">
        <v>240</v>
      </c>
    </row>
    <row r="2" spans="2:12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</row>
    <row r="3" spans="2:12" x14ac:dyDescent="0.3">
      <c r="B3" s="1">
        <v>0.5</v>
      </c>
      <c r="C3" s="1" t="s">
        <v>212</v>
      </c>
      <c r="D3" s="1">
        <v>1360</v>
      </c>
      <c r="E3" s="1">
        <v>1.05</v>
      </c>
      <c r="F3" s="1">
        <f>ROUNDUP(Motor_4P_IE3_T[[#This Row],[Rated FL Amp (415V)(3Ph)]]*((SQRT(3)*$E$1)/$F$1),1)</f>
        <v>3.2</v>
      </c>
      <c r="G3" s="1">
        <v>71.2</v>
      </c>
      <c r="H3" s="1" t="s">
        <v>20</v>
      </c>
      <c r="I3" s="1">
        <v>0.62</v>
      </c>
      <c r="J3" s="1" t="s">
        <v>20</v>
      </c>
      <c r="K3" s="1">
        <v>7.5</v>
      </c>
      <c r="L3" s="1" t="s">
        <v>238</v>
      </c>
    </row>
    <row r="4" spans="2:12" x14ac:dyDescent="0.3">
      <c r="B4" s="1">
        <v>0.75</v>
      </c>
      <c r="C4" s="1" t="s">
        <v>213</v>
      </c>
      <c r="D4" s="1">
        <v>1360</v>
      </c>
      <c r="E4" s="1">
        <v>1.44</v>
      </c>
      <c r="F4" s="1">
        <f>ROUNDUP(Motor_4P_IE3_T[[#This Row],[Rated FL Amp (415V)(3Ph)]]*((SQRT(3)*$E$1)/$F$1),1)</f>
        <v>4.3999999999999995</v>
      </c>
      <c r="G4" s="1">
        <v>74.599999999999994</v>
      </c>
      <c r="H4" s="1" t="s">
        <v>20</v>
      </c>
      <c r="I4" s="1">
        <v>0.64</v>
      </c>
      <c r="J4" s="1" t="s">
        <v>20</v>
      </c>
      <c r="K4" s="1">
        <v>11.3</v>
      </c>
      <c r="L4" s="1" t="s">
        <v>239</v>
      </c>
    </row>
    <row r="5" spans="2:12" x14ac:dyDescent="0.3">
      <c r="B5" s="1">
        <v>1</v>
      </c>
      <c r="C5" s="1" t="s">
        <v>214</v>
      </c>
      <c r="D5" s="1">
        <v>1430</v>
      </c>
      <c r="E5" s="1">
        <v>1.69</v>
      </c>
      <c r="F5" s="1">
        <f>ROUNDUP(Motor_4P_IE3_T[[#This Row],[Rated FL Amp (415V)(3Ph)]]*((SQRT(3)*$E$1)/$F$1),1)</f>
        <v>5.0999999999999996</v>
      </c>
      <c r="G5" s="1">
        <v>82.5</v>
      </c>
      <c r="H5" s="1" t="s">
        <v>20</v>
      </c>
      <c r="I5" s="1">
        <v>0.75</v>
      </c>
      <c r="J5" s="1" t="s">
        <v>20</v>
      </c>
      <c r="K5" s="1">
        <v>20</v>
      </c>
      <c r="L5" s="1" t="s">
        <v>239</v>
      </c>
    </row>
    <row r="6" spans="2:12" x14ac:dyDescent="0.3">
      <c r="B6" s="1">
        <v>1.5</v>
      </c>
      <c r="C6" s="1" t="s">
        <v>215</v>
      </c>
      <c r="D6" s="1">
        <v>1430</v>
      </c>
      <c r="E6" s="1">
        <v>2.39</v>
      </c>
      <c r="F6" s="1">
        <f>ROUNDUP(Motor_4P_IE3_T[[#This Row],[Rated FL Amp (415V)(3Ph)]]*((SQRT(3)*$E$1)/$F$1),1)</f>
        <v>7.1999999999999993</v>
      </c>
      <c r="G6" s="1">
        <v>84.1</v>
      </c>
      <c r="H6" s="1" t="s">
        <v>20</v>
      </c>
      <c r="I6" s="1">
        <v>0.76</v>
      </c>
      <c r="J6" s="1" t="s">
        <v>20</v>
      </c>
      <c r="K6" s="1">
        <v>23</v>
      </c>
      <c r="L6" s="1" t="s">
        <v>240</v>
      </c>
    </row>
    <row r="7" spans="2:12" x14ac:dyDescent="0.3">
      <c r="B7" s="1">
        <v>2</v>
      </c>
      <c r="C7" s="1" t="s">
        <v>216</v>
      </c>
      <c r="D7" s="1">
        <v>1430</v>
      </c>
      <c r="E7" s="1">
        <v>3.18</v>
      </c>
      <c r="F7" s="1">
        <f>ROUNDUP(Motor_4P_IE3_T[[#This Row],[Rated FL Amp (415V)(3Ph)]]*((SQRT(3)*$E$1)/$F$1),1)</f>
        <v>9.6</v>
      </c>
      <c r="G7" s="1">
        <v>85.3</v>
      </c>
      <c r="H7" s="1" t="s">
        <v>20</v>
      </c>
      <c r="I7" s="1">
        <v>0.77</v>
      </c>
      <c r="J7" s="1" t="s">
        <v>20</v>
      </c>
      <c r="K7" s="1">
        <v>26</v>
      </c>
      <c r="L7" s="1" t="s">
        <v>241</v>
      </c>
    </row>
    <row r="8" spans="2:12" x14ac:dyDescent="0.3">
      <c r="B8" s="1">
        <v>3</v>
      </c>
      <c r="C8" s="1" t="s">
        <v>217</v>
      </c>
      <c r="D8" s="1">
        <v>1440</v>
      </c>
      <c r="E8" s="1">
        <v>4.3600000000000003</v>
      </c>
      <c r="F8" s="1">
        <f>ROUNDUP(Motor_4P_IE3_T[[#This Row],[Rated FL Amp (415V)(3Ph)]]*((SQRT(3)*$E$1)/$F$1),1)</f>
        <v>13.1</v>
      </c>
      <c r="G8" s="1">
        <v>86.7</v>
      </c>
      <c r="H8" s="1" t="s">
        <v>20</v>
      </c>
      <c r="I8" s="1">
        <v>0.81</v>
      </c>
      <c r="J8" s="1" t="s">
        <v>20</v>
      </c>
      <c r="K8" s="1">
        <v>37</v>
      </c>
      <c r="L8" s="1" t="s">
        <v>242</v>
      </c>
    </row>
    <row r="9" spans="2:12" x14ac:dyDescent="0.3">
      <c r="B9" s="1">
        <v>4</v>
      </c>
      <c r="C9" s="1" t="s">
        <v>218</v>
      </c>
      <c r="D9" s="1">
        <v>1455</v>
      </c>
      <c r="E9" s="1">
        <v>5.8</v>
      </c>
      <c r="F9" s="1">
        <f>ROUNDUP(Motor_4P_IE3_T[[#This Row],[Rated FL Amp (415V)(3Ph)]]*((SQRT(3)*$E$1)/$F$1),1)</f>
        <v>17.400000000000002</v>
      </c>
      <c r="G9" s="1">
        <v>87.7</v>
      </c>
      <c r="H9" s="1" t="s">
        <v>20</v>
      </c>
      <c r="I9" s="1">
        <v>0.82</v>
      </c>
      <c r="J9" s="1" t="s">
        <v>20</v>
      </c>
      <c r="K9" s="1">
        <v>42</v>
      </c>
      <c r="L9" s="1" t="s">
        <v>242</v>
      </c>
    </row>
    <row r="10" spans="2:12" x14ac:dyDescent="0.3">
      <c r="B10" s="1">
        <v>5.5</v>
      </c>
      <c r="C10" s="1" t="s">
        <v>219</v>
      </c>
      <c r="D10" s="1">
        <v>1465</v>
      </c>
      <c r="E10" s="1">
        <v>7.66</v>
      </c>
      <c r="F10" s="1">
        <f>ROUNDUP(Motor_4P_IE3_T[[#This Row],[Rated FL Amp (415V)(3Ph)]]*((SQRT(3)*$E$1)/$F$1),1)</f>
        <v>23</v>
      </c>
      <c r="G10" s="1">
        <v>88.6</v>
      </c>
      <c r="H10" s="1" t="s">
        <v>20</v>
      </c>
      <c r="I10" s="1">
        <v>0.82</v>
      </c>
      <c r="J10" s="1" t="s">
        <v>20</v>
      </c>
      <c r="K10" s="1">
        <v>49</v>
      </c>
      <c r="L10" s="1" t="s">
        <v>243</v>
      </c>
    </row>
    <row r="11" spans="2:12" x14ac:dyDescent="0.3">
      <c r="B11" s="1">
        <v>7.5</v>
      </c>
      <c r="C11" s="1" t="s">
        <v>220</v>
      </c>
      <c r="D11" s="1">
        <v>1465</v>
      </c>
      <c r="E11" s="1">
        <v>10.3</v>
      </c>
      <c r="F11" s="1">
        <f>ROUNDUP(Motor_4P_IE3_T[[#This Row],[Rated FL Amp (415V)(3Ph)]]*((SQRT(3)*$E$1)/$F$1),1)</f>
        <v>30.900000000000002</v>
      </c>
      <c r="G11" s="1">
        <v>89.6</v>
      </c>
      <c r="H11" s="1" t="s">
        <v>20</v>
      </c>
      <c r="I11" s="1">
        <v>0.83</v>
      </c>
      <c r="J11" s="1" t="s">
        <v>20</v>
      </c>
      <c r="K11" s="1">
        <v>70</v>
      </c>
      <c r="L11" s="1" t="s">
        <v>244</v>
      </c>
    </row>
    <row r="12" spans="2:12" x14ac:dyDescent="0.3">
      <c r="B12" s="1">
        <v>10</v>
      </c>
      <c r="C12" s="1" t="s">
        <v>221</v>
      </c>
      <c r="D12" s="1">
        <v>1470</v>
      </c>
      <c r="E12" s="1">
        <v>13.8</v>
      </c>
      <c r="F12" s="1">
        <f>ROUNDUP(Motor_4P_IE3_T[[#This Row],[Rated FL Amp (415V)(3Ph)]]*((SQRT(3)*$E$1)/$F$1),1)</f>
        <v>41.4</v>
      </c>
      <c r="G12" s="1">
        <v>90.4</v>
      </c>
      <c r="H12" s="1" t="s">
        <v>20</v>
      </c>
      <c r="I12" s="1">
        <v>0.84</v>
      </c>
      <c r="J12" s="1" t="s">
        <v>20</v>
      </c>
      <c r="K12" s="1">
        <v>84</v>
      </c>
      <c r="L12" s="1" t="s">
        <v>246</v>
      </c>
    </row>
    <row r="13" spans="2:12" x14ac:dyDescent="0.3">
      <c r="B13" s="1">
        <v>15</v>
      </c>
      <c r="C13" s="1" t="s">
        <v>222</v>
      </c>
      <c r="D13" s="1">
        <v>1470</v>
      </c>
      <c r="E13" s="1">
        <v>19.7</v>
      </c>
      <c r="F13" s="1">
        <f>ROUNDUP(Motor_4P_IE3_T[[#This Row],[Rated FL Amp (415V)(3Ph)]]*((SQRT(3)*$E$1)/$F$1),1)</f>
        <v>59.1</v>
      </c>
      <c r="G13" s="1">
        <v>91.4</v>
      </c>
      <c r="H13" s="1" t="s">
        <v>20</v>
      </c>
      <c r="I13" s="1">
        <v>0.85</v>
      </c>
      <c r="J13" s="1" t="s">
        <v>20</v>
      </c>
      <c r="K13" s="1">
        <v>130</v>
      </c>
      <c r="L13" s="1" t="s">
        <v>245</v>
      </c>
    </row>
    <row r="14" spans="2:12" x14ac:dyDescent="0.3">
      <c r="B14" s="1">
        <v>20</v>
      </c>
      <c r="C14" s="1" t="s">
        <v>223</v>
      </c>
      <c r="D14" s="1">
        <v>1470</v>
      </c>
      <c r="E14" s="1">
        <v>26.3</v>
      </c>
      <c r="F14" s="1">
        <f>ROUNDUP(Motor_4P_IE3_T[[#This Row],[Rated FL Amp (415V)(3Ph)]]*((SQRT(3)*$E$1)/$F$1),1)</f>
        <v>78.8</v>
      </c>
      <c r="G14" s="1">
        <v>92.1</v>
      </c>
      <c r="H14" s="1" t="s">
        <v>20</v>
      </c>
      <c r="I14" s="1">
        <v>0.86</v>
      </c>
      <c r="J14" s="1" t="s">
        <v>20</v>
      </c>
      <c r="K14" s="1">
        <v>148</v>
      </c>
      <c r="L14" s="1" t="s">
        <v>247</v>
      </c>
    </row>
    <row r="15" spans="2:12" x14ac:dyDescent="0.3">
      <c r="B15" s="1">
        <v>25</v>
      </c>
      <c r="C15" s="1" t="s">
        <v>224</v>
      </c>
      <c r="D15" s="1">
        <v>1470</v>
      </c>
      <c r="E15" s="1">
        <v>32.299999999999997</v>
      </c>
      <c r="F15" s="1">
        <f>ROUNDUP(Motor_4P_IE3_T[[#This Row],[Rated FL Amp (415V)(3Ph)]]*((SQRT(3)*$E$1)/$F$1),1)</f>
        <v>96.8</v>
      </c>
      <c r="G15" s="1">
        <v>92.6</v>
      </c>
      <c r="H15" s="1" t="s">
        <v>20</v>
      </c>
      <c r="I15" s="1">
        <v>0.86</v>
      </c>
      <c r="J15" s="1" t="s">
        <v>20</v>
      </c>
      <c r="K15" s="1">
        <v>192</v>
      </c>
      <c r="L15" s="1" t="s">
        <v>248</v>
      </c>
    </row>
    <row r="16" spans="2:12" x14ac:dyDescent="0.3">
      <c r="B16" s="1">
        <v>30</v>
      </c>
      <c r="C16" s="1" t="s">
        <v>225</v>
      </c>
      <c r="D16" s="1">
        <v>1475</v>
      </c>
      <c r="E16" s="1">
        <v>38.299999999999997</v>
      </c>
      <c r="F16" s="1">
        <f>ROUNDUP(Motor_4P_IE3_T[[#This Row],[Rated FL Amp (415V)(3Ph)]]*((SQRT(3)*$E$1)/$F$1),1)</f>
        <v>114.8</v>
      </c>
      <c r="G16" s="1">
        <v>93</v>
      </c>
      <c r="H16" s="1" t="s">
        <v>20</v>
      </c>
      <c r="I16" s="1">
        <v>0.86</v>
      </c>
      <c r="J16" s="1" t="s">
        <v>20</v>
      </c>
      <c r="K16" s="1">
        <v>206</v>
      </c>
      <c r="L16" s="1" t="s">
        <v>249</v>
      </c>
    </row>
    <row r="17" spans="2:12" x14ac:dyDescent="0.3">
      <c r="B17" s="1">
        <v>40</v>
      </c>
      <c r="C17" s="1" t="s">
        <v>226</v>
      </c>
      <c r="D17" s="1">
        <v>1480</v>
      </c>
      <c r="E17" s="1">
        <v>51.9</v>
      </c>
      <c r="F17" s="1">
        <f>ROUNDUP(Motor_4P_IE3_T[[#This Row],[Rated FL Amp (415V)(3Ph)]]*((SQRT(3)*$E$1)/$F$1),1)</f>
        <v>155.5</v>
      </c>
      <c r="G17" s="1">
        <v>93.6</v>
      </c>
      <c r="H17" s="1" t="s">
        <v>20</v>
      </c>
      <c r="I17" s="1">
        <v>0.86</v>
      </c>
      <c r="J17" s="1" t="s">
        <v>20</v>
      </c>
      <c r="K17" s="1">
        <v>275</v>
      </c>
      <c r="L17" s="1" t="s">
        <v>250</v>
      </c>
    </row>
    <row r="18" spans="2:12" x14ac:dyDescent="0.3">
      <c r="B18" s="1">
        <v>50</v>
      </c>
      <c r="C18" s="1" t="s">
        <v>227</v>
      </c>
      <c r="D18" s="1">
        <v>1480</v>
      </c>
      <c r="E18" s="1">
        <v>63.7</v>
      </c>
      <c r="F18" s="1">
        <f>ROUNDUP(Motor_4P_IE3_T[[#This Row],[Rated FL Amp (415V)(3Ph)]]*((SQRT(3)*$E$1)/$F$1),1)</f>
        <v>190.79999999999998</v>
      </c>
      <c r="G18" s="1">
        <v>93.9</v>
      </c>
      <c r="H18" s="1" t="s">
        <v>20</v>
      </c>
      <c r="I18" s="1">
        <v>0.86</v>
      </c>
      <c r="J18" s="1" t="s">
        <v>20</v>
      </c>
      <c r="K18" s="1">
        <v>325</v>
      </c>
      <c r="L18" s="1" t="s">
        <v>251</v>
      </c>
    </row>
    <row r="19" spans="2:12" x14ac:dyDescent="0.3">
      <c r="B19" s="1">
        <v>60</v>
      </c>
      <c r="C19" s="1" t="s">
        <v>228</v>
      </c>
      <c r="D19" s="1">
        <v>1485</v>
      </c>
      <c r="E19" s="1">
        <v>77.3</v>
      </c>
      <c r="F19" s="1">
        <f>ROUNDUP(Motor_4P_IE3_T[[#This Row],[Rated FL Amp (415V)(3Ph)]]*((SQRT(3)*$E$1)/$F$1),1)</f>
        <v>231.6</v>
      </c>
      <c r="G19" s="1">
        <v>94.2</v>
      </c>
      <c r="H19" s="1" t="s">
        <v>20</v>
      </c>
      <c r="I19" s="1">
        <v>0.86</v>
      </c>
      <c r="J19" s="1" t="s">
        <v>20</v>
      </c>
      <c r="K19" s="1">
        <v>350</v>
      </c>
      <c r="L19" s="1" t="s">
        <v>252</v>
      </c>
    </row>
    <row r="20" spans="2:12" x14ac:dyDescent="0.3">
      <c r="B20" s="1">
        <v>75</v>
      </c>
      <c r="C20" s="1" t="s">
        <v>229</v>
      </c>
      <c r="D20" s="1">
        <v>1490</v>
      </c>
      <c r="E20" s="1">
        <v>94.1</v>
      </c>
      <c r="F20" s="1">
        <f>ROUNDUP(Motor_4P_IE3_T[[#This Row],[Rated FL Amp (415V)(3Ph)]]*((SQRT(3)*$E$1)/$F$1),1)</f>
        <v>281.90000000000003</v>
      </c>
      <c r="G20" s="1">
        <v>94.6</v>
      </c>
      <c r="H20" s="1" t="s">
        <v>20</v>
      </c>
      <c r="I20" s="1">
        <v>0.86</v>
      </c>
      <c r="J20" s="1" t="s">
        <v>20</v>
      </c>
      <c r="K20" s="1">
        <v>435</v>
      </c>
      <c r="L20" s="1" t="s">
        <v>253</v>
      </c>
    </row>
    <row r="21" spans="2:12" x14ac:dyDescent="0.3">
      <c r="B21" s="1">
        <v>100</v>
      </c>
      <c r="C21" s="1" t="s">
        <v>230</v>
      </c>
      <c r="D21" s="1">
        <v>1490</v>
      </c>
      <c r="E21" s="1">
        <v>124.3</v>
      </c>
      <c r="F21" s="1">
        <f>ROUNDUP(Motor_4P_IE3_T[[#This Row],[Rated FL Amp (415V)(3Ph)]]*((SQRT(3)*$E$1)/$F$1),1)</f>
        <v>372.3</v>
      </c>
      <c r="G21" s="1">
        <v>95</v>
      </c>
      <c r="H21" s="1" t="s">
        <v>20</v>
      </c>
      <c r="I21" s="1">
        <v>0.88</v>
      </c>
      <c r="J21" s="1" t="s">
        <v>20</v>
      </c>
      <c r="K21" s="1">
        <v>585</v>
      </c>
      <c r="L21" s="1" t="s">
        <v>254</v>
      </c>
    </row>
    <row r="22" spans="2:12" x14ac:dyDescent="0.3">
      <c r="B22" s="1">
        <v>125</v>
      </c>
      <c r="C22" s="1" t="s">
        <v>231</v>
      </c>
      <c r="D22" s="1">
        <v>1490</v>
      </c>
      <c r="E22" s="1">
        <v>149.4</v>
      </c>
      <c r="F22" s="1">
        <f>ROUNDUP(Motor_4P_IE3_T[[#This Row],[Rated FL Amp (415V)(3Ph)]]*((SQRT(3)*$E$1)/$F$1),1)</f>
        <v>447.5</v>
      </c>
      <c r="G22" s="1">
        <v>95.2</v>
      </c>
      <c r="H22" s="1" t="s">
        <v>20</v>
      </c>
      <c r="I22" s="1">
        <v>0.88</v>
      </c>
      <c r="J22" s="1" t="s">
        <v>20</v>
      </c>
      <c r="K22" s="1">
        <v>653</v>
      </c>
      <c r="L22" s="1" t="s">
        <v>255</v>
      </c>
    </row>
    <row r="23" spans="2:12" x14ac:dyDescent="0.3">
      <c r="B23" s="1">
        <v>150</v>
      </c>
      <c r="C23" s="1" t="s">
        <v>232</v>
      </c>
      <c r="D23" s="1">
        <v>1490</v>
      </c>
      <c r="E23" s="1">
        <v>180.2</v>
      </c>
      <c r="F23" s="1">
        <f>ROUNDUP(Motor_4P_IE3_T[[#This Row],[Rated FL Amp (415V)(3Ph)]]*((SQRT(3)*$E$1)/$F$1),1)</f>
        <v>539.70000000000005</v>
      </c>
      <c r="G23" s="1">
        <v>95.4</v>
      </c>
      <c r="H23" s="1" t="s">
        <v>20</v>
      </c>
      <c r="I23" s="1">
        <v>0.89</v>
      </c>
      <c r="J23" s="1" t="s">
        <v>20</v>
      </c>
      <c r="K23" s="1">
        <v>1010</v>
      </c>
      <c r="L23" s="1" t="s">
        <v>256</v>
      </c>
    </row>
    <row r="24" spans="2:12" x14ac:dyDescent="0.3">
      <c r="B24" s="1">
        <v>175</v>
      </c>
      <c r="C24" s="1" t="s">
        <v>233</v>
      </c>
      <c r="D24" s="1">
        <v>1490</v>
      </c>
      <c r="E24" s="1">
        <v>215.9</v>
      </c>
      <c r="F24" s="1">
        <f>ROUNDUP(Motor_4P_IE3_T[[#This Row],[Rated FL Amp (415V)(3Ph)]]*((SQRT(3)*$E$1)/$F$1),1)</f>
        <v>646.70000000000005</v>
      </c>
      <c r="G24" s="1">
        <v>95.6</v>
      </c>
      <c r="H24" s="1" t="s">
        <v>20</v>
      </c>
      <c r="I24" s="1">
        <v>0.89</v>
      </c>
      <c r="J24" s="1" t="s">
        <v>20</v>
      </c>
      <c r="K24" s="1">
        <v>1140</v>
      </c>
      <c r="L24" s="1" t="s">
        <v>257</v>
      </c>
    </row>
    <row r="25" spans="2:12" x14ac:dyDescent="0.3">
      <c r="B25" s="1">
        <v>215</v>
      </c>
      <c r="C25" s="1" t="s">
        <v>234</v>
      </c>
      <c r="D25" s="1">
        <v>1490</v>
      </c>
      <c r="E25" s="1">
        <v>261.2</v>
      </c>
      <c r="F25" s="1">
        <f>ROUNDUP(Motor_4P_IE3_T[[#This Row],[Rated FL Amp (415V)(3Ph)]]*((SQRT(3)*$E$1)/$F$1),1)</f>
        <v>782.30000000000007</v>
      </c>
      <c r="G25" s="1">
        <v>95.8</v>
      </c>
      <c r="H25" s="1" t="s">
        <v>20</v>
      </c>
      <c r="I25" s="1">
        <v>0.89</v>
      </c>
      <c r="J25" s="1" t="s">
        <v>20</v>
      </c>
      <c r="K25" s="1">
        <v>1210</v>
      </c>
      <c r="L25" s="1" t="s">
        <v>258</v>
      </c>
    </row>
    <row r="26" spans="2:12" x14ac:dyDescent="0.3">
      <c r="B26" s="1">
        <v>270</v>
      </c>
      <c r="C26" s="1" t="s">
        <v>235</v>
      </c>
      <c r="D26" s="1">
        <v>1490</v>
      </c>
      <c r="E26" s="1">
        <v>321.89999999999998</v>
      </c>
      <c r="F26" s="1">
        <f>ROUNDUP(Motor_4P_IE3_T[[#This Row],[Rated FL Amp (415V)(3Ph)]]*((SQRT(3)*$E$1)/$F$1),1)</f>
        <v>964.1</v>
      </c>
      <c r="G26" s="1">
        <v>96</v>
      </c>
      <c r="H26" s="1" t="s">
        <v>20</v>
      </c>
      <c r="I26" s="1">
        <v>0.89</v>
      </c>
      <c r="J26" s="1" t="s">
        <v>20</v>
      </c>
      <c r="K26" s="1">
        <v>1285</v>
      </c>
      <c r="L26" s="1" t="s">
        <v>258</v>
      </c>
    </row>
    <row r="27" spans="2:12" x14ac:dyDescent="0.3">
      <c r="B27" s="1">
        <v>335</v>
      </c>
      <c r="C27" s="1" t="s">
        <v>236</v>
      </c>
      <c r="D27" s="1">
        <v>1495</v>
      </c>
      <c r="E27" s="1">
        <v>402.9</v>
      </c>
      <c r="F27" s="1">
        <f>ROUNDUP(Motor_4P_IE3_T[[#This Row],[Rated FL Amp (415V)(3Ph)]]*((SQRT(3)*$E$1)/$F$1),1)</f>
        <v>1206.6999999999998</v>
      </c>
      <c r="G27" s="1">
        <v>96</v>
      </c>
      <c r="H27" s="1" t="s">
        <v>20</v>
      </c>
      <c r="I27" s="1">
        <v>0.9</v>
      </c>
      <c r="J27" s="1" t="s">
        <v>20</v>
      </c>
      <c r="K27" s="1">
        <v>1680</v>
      </c>
      <c r="L27" s="1" t="s">
        <v>259</v>
      </c>
    </row>
    <row r="28" spans="2:12" x14ac:dyDescent="0.3">
      <c r="B28" s="1">
        <v>420</v>
      </c>
      <c r="C28" s="1" t="s">
        <v>237</v>
      </c>
      <c r="D28" s="1">
        <v>1495</v>
      </c>
      <c r="E28" s="1">
        <v>507</v>
      </c>
      <c r="F28" s="1">
        <f>ROUNDUP(Motor_4P_IE3_T[[#This Row],[Rated FL Amp (415V)(3Ph)]]*((SQRT(3)*$E$1)/$F$1),1)</f>
        <v>1518.5</v>
      </c>
      <c r="G28" s="1">
        <v>96</v>
      </c>
      <c r="H28" s="1" t="s">
        <v>20</v>
      </c>
      <c r="I28" s="1">
        <v>0.9</v>
      </c>
      <c r="J28" s="1" t="s">
        <v>20</v>
      </c>
      <c r="K28" s="1">
        <v>1870</v>
      </c>
      <c r="L28" s="1" t="s">
        <v>260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520E-5AB6-4A2F-A927-90E83488FC13}">
  <dimension ref="B1:Q33"/>
  <sheetViews>
    <sheetView topLeftCell="D10" workbookViewId="0">
      <selection activeCell="F3" sqref="F3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  <col min="17" max="17" width="9.5546875" bestFit="1" customWidth="1"/>
  </cols>
  <sheetData>
    <row r="1" spans="2:17" x14ac:dyDescent="0.3">
      <c r="E1" s="1">
        <v>415</v>
      </c>
      <c r="F1" s="1">
        <v>240</v>
      </c>
    </row>
    <row r="2" spans="2:17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  <c r="O2">
        <v>380</v>
      </c>
      <c r="Q2">
        <v>415</v>
      </c>
    </row>
    <row r="3" spans="2:17" x14ac:dyDescent="0.3">
      <c r="B3" s="1">
        <v>0.5</v>
      </c>
      <c r="C3" s="1" t="s">
        <v>261</v>
      </c>
      <c r="D3" s="1">
        <v>2765</v>
      </c>
      <c r="E3" s="1">
        <v>0.82000000000000006</v>
      </c>
      <c r="F3" s="1">
        <f>ROUNDUP(Motor_2P_IE4_T[[#This Row],[Rated FL Amp (415V)(3Ph)]]*((SQRT(3)*$E$1)/$F$1),1)</f>
        <v>2.5</v>
      </c>
      <c r="G3" s="1">
        <v>76.5</v>
      </c>
      <c r="H3" s="1" t="s">
        <v>20</v>
      </c>
      <c r="I3" s="1">
        <v>0.81</v>
      </c>
      <c r="J3" s="1" t="s">
        <v>20</v>
      </c>
      <c r="K3" s="1">
        <v>7.3</v>
      </c>
      <c r="L3" s="1" t="s">
        <v>211</v>
      </c>
    </row>
    <row r="4" spans="2:17" x14ac:dyDescent="0.3">
      <c r="B4" s="1">
        <v>0.75</v>
      </c>
      <c r="C4" s="1" t="s">
        <v>262</v>
      </c>
      <c r="D4" s="1">
        <v>2765</v>
      </c>
      <c r="E4" s="1">
        <v>1.1499999999999999</v>
      </c>
      <c r="F4" s="1">
        <f>ROUNDUP(Motor_2P_IE4_T[[#This Row],[Rated FL Amp (415V)(3Ph)]]*((SQRT(3)*$E$1)/$F$1),1)</f>
        <v>3.5</v>
      </c>
      <c r="G4" s="1">
        <v>79.900000000000006</v>
      </c>
      <c r="H4" s="1" t="s">
        <v>20</v>
      </c>
      <c r="I4" s="1">
        <v>0.82</v>
      </c>
      <c r="J4" s="1" t="s">
        <v>20</v>
      </c>
      <c r="K4" s="1">
        <v>8.5</v>
      </c>
      <c r="L4" s="1" t="s">
        <v>211</v>
      </c>
    </row>
    <row r="5" spans="2:17" x14ac:dyDescent="0.3">
      <c r="B5" s="1">
        <v>1</v>
      </c>
      <c r="C5" s="1" t="s">
        <v>263</v>
      </c>
      <c r="D5" s="1">
        <v>2875</v>
      </c>
      <c r="E5" s="1">
        <v>1.49</v>
      </c>
      <c r="F5" s="1">
        <f>ROUNDUP(Motor_2P_IE4_T[[#This Row],[Rated FL Amp (415V)(3Ph)]]*((SQRT(3)*$E$1)/$F$1),1)</f>
        <v>4.5</v>
      </c>
      <c r="G5" s="1">
        <v>83.5</v>
      </c>
      <c r="H5" s="1" t="s">
        <v>20</v>
      </c>
      <c r="I5" s="1">
        <v>0.83</v>
      </c>
      <c r="J5" s="1" t="s">
        <v>20</v>
      </c>
      <c r="K5" s="1">
        <v>18</v>
      </c>
      <c r="L5" s="1" t="s">
        <v>192</v>
      </c>
      <c r="O5">
        <v>1.62</v>
      </c>
      <c r="Q5" s="2">
        <f>ROUNDUP((O5*$O$2/$Q$2),2)</f>
        <v>1.49</v>
      </c>
    </row>
    <row r="6" spans="2:17" x14ac:dyDescent="0.3">
      <c r="B6" s="1">
        <v>1.5</v>
      </c>
      <c r="C6" s="1" t="s">
        <v>264</v>
      </c>
      <c r="D6" s="1">
        <v>2885</v>
      </c>
      <c r="E6" s="1">
        <v>2.13</v>
      </c>
      <c r="F6" s="1">
        <f>ROUNDUP(Motor_2P_IE4_T[[#This Row],[Rated FL Amp (415V)(3Ph)]]*((SQRT(3)*$E$1)/$F$1),1)</f>
        <v>6.3999999999999995</v>
      </c>
      <c r="G6" s="1">
        <v>85.2</v>
      </c>
      <c r="H6" s="1" t="s">
        <v>20</v>
      </c>
      <c r="I6" s="1">
        <v>0.83</v>
      </c>
      <c r="J6" s="1" t="s">
        <v>20</v>
      </c>
      <c r="K6" s="1">
        <v>19</v>
      </c>
      <c r="L6" s="1" t="s">
        <v>192</v>
      </c>
      <c r="O6">
        <v>2.3199999999999998</v>
      </c>
      <c r="Q6" s="2">
        <f t="shared" ref="Q6:Q10" si="0">ROUNDUP((O6*$O$2/$Q$2),2)</f>
        <v>2.13</v>
      </c>
    </row>
    <row r="7" spans="2:17" x14ac:dyDescent="0.3">
      <c r="B7" s="1">
        <v>2</v>
      </c>
      <c r="C7" s="1" t="s">
        <v>265</v>
      </c>
      <c r="D7" s="1">
        <v>2890</v>
      </c>
      <c r="E7" s="1">
        <v>2.8099999999999996</v>
      </c>
      <c r="F7" s="1">
        <f>ROUNDUP(Motor_2P_IE4_T[[#This Row],[Rated FL Amp (415V)(3Ph)]]*((SQRT(3)*$E$1)/$F$1),1)</f>
        <v>8.5</v>
      </c>
      <c r="G7" s="1">
        <v>86.5</v>
      </c>
      <c r="H7" s="1" t="s">
        <v>20</v>
      </c>
      <c r="I7" s="1">
        <v>0.85</v>
      </c>
      <c r="J7" s="1" t="s">
        <v>20</v>
      </c>
      <c r="K7" s="1">
        <v>26</v>
      </c>
      <c r="L7" s="1" t="s">
        <v>193</v>
      </c>
      <c r="O7">
        <v>3.06</v>
      </c>
      <c r="Q7" s="2">
        <f t="shared" si="0"/>
        <v>2.8099999999999996</v>
      </c>
    </row>
    <row r="8" spans="2:17" x14ac:dyDescent="0.3">
      <c r="B8" s="1">
        <v>3</v>
      </c>
      <c r="C8" s="1" t="s">
        <v>266</v>
      </c>
      <c r="D8" s="1">
        <v>2895</v>
      </c>
      <c r="E8" s="1">
        <v>4</v>
      </c>
      <c r="F8" s="1">
        <f>ROUNDUP(Motor_2P_IE4_T[[#This Row],[Rated FL Amp (415V)(3Ph)]]*((SQRT(3)*$E$1)/$F$1),1)</f>
        <v>12</v>
      </c>
      <c r="G8" s="1">
        <v>88</v>
      </c>
      <c r="H8" s="1" t="s">
        <v>20</v>
      </c>
      <c r="I8" s="1">
        <v>0.86</v>
      </c>
      <c r="J8" s="1" t="s">
        <v>20</v>
      </c>
      <c r="K8" s="1">
        <v>30</v>
      </c>
      <c r="L8" s="1" t="s">
        <v>194</v>
      </c>
      <c r="O8">
        <v>4.3600000000000003</v>
      </c>
      <c r="Q8" s="2">
        <f t="shared" si="0"/>
        <v>4</v>
      </c>
    </row>
    <row r="9" spans="2:17" x14ac:dyDescent="0.3">
      <c r="B9" s="1">
        <v>4</v>
      </c>
      <c r="C9" s="1" t="s">
        <v>267</v>
      </c>
      <c r="D9" s="1">
        <v>2900</v>
      </c>
      <c r="E9" s="1">
        <v>5.35</v>
      </c>
      <c r="F9" s="1">
        <f>ROUNDUP(Motor_2P_IE4_T[[#This Row],[Rated FL Amp (415V)(3Ph)]]*((SQRT(3)*$E$1)/$F$1),1)</f>
        <v>16.100000000000001</v>
      </c>
      <c r="G9" s="1">
        <v>89.1</v>
      </c>
      <c r="H9" s="1" t="s">
        <v>20</v>
      </c>
      <c r="I9" s="1">
        <v>0.87</v>
      </c>
      <c r="J9" s="1" t="s">
        <v>20</v>
      </c>
      <c r="K9" s="1">
        <v>38</v>
      </c>
      <c r="L9" s="1" t="s">
        <v>195</v>
      </c>
      <c r="O9">
        <v>5.84</v>
      </c>
      <c r="Q9" s="2">
        <f t="shared" si="0"/>
        <v>5.35</v>
      </c>
    </row>
    <row r="10" spans="2:17" x14ac:dyDescent="0.3">
      <c r="B10" s="1">
        <v>5.5</v>
      </c>
      <c r="C10" s="1" t="s">
        <v>268</v>
      </c>
      <c r="D10" s="1">
        <v>2915</v>
      </c>
      <c r="E10" s="1">
        <v>7</v>
      </c>
      <c r="F10" s="1">
        <f>ROUNDUP(Motor_2P_IE4_T[[#This Row],[Rated FL Amp (415V)(3Ph)]]*((SQRT(3)*$E$1)/$F$1),1)</f>
        <v>21</v>
      </c>
      <c r="G10" s="1">
        <v>90</v>
      </c>
      <c r="H10" s="1" t="s">
        <v>20</v>
      </c>
      <c r="I10" s="1">
        <v>0.88</v>
      </c>
      <c r="J10" s="1" t="s">
        <v>20</v>
      </c>
      <c r="K10" s="1">
        <v>51</v>
      </c>
      <c r="L10" s="1" t="s">
        <v>196</v>
      </c>
      <c r="O10">
        <v>7.64</v>
      </c>
      <c r="Q10" s="2">
        <f t="shared" si="0"/>
        <v>7</v>
      </c>
    </row>
    <row r="11" spans="2:17" x14ac:dyDescent="0.3">
      <c r="B11" s="1">
        <v>7.5</v>
      </c>
      <c r="C11" s="1" t="s">
        <v>269</v>
      </c>
      <c r="D11" s="1">
        <v>2925</v>
      </c>
      <c r="E11" s="1">
        <v>9.44</v>
      </c>
      <c r="F11" s="1">
        <f>ROUNDUP(Motor_2P_IE4_T[[#This Row],[Rated FL Amp (415V)(3Ph)]]*((SQRT(3)*$E$1)/$F$1),1)</f>
        <v>28.3</v>
      </c>
      <c r="G11" s="1">
        <v>90.9</v>
      </c>
      <c r="H11" s="1" t="s">
        <v>20</v>
      </c>
      <c r="I11" s="1">
        <v>0.88</v>
      </c>
      <c r="J11" s="1" t="s">
        <v>20</v>
      </c>
      <c r="K11" s="1">
        <v>73</v>
      </c>
      <c r="L11" s="1" t="s">
        <v>197</v>
      </c>
      <c r="O11">
        <v>10.3</v>
      </c>
      <c r="Q11" s="2">
        <f>ROUNDUP((O11*$O$2/$Q$2),2)</f>
        <v>9.44</v>
      </c>
    </row>
    <row r="12" spans="2:17" x14ac:dyDescent="0.3">
      <c r="B12" s="1">
        <v>10</v>
      </c>
      <c r="C12" s="1" t="s">
        <v>270</v>
      </c>
      <c r="D12" s="1">
        <v>2925</v>
      </c>
      <c r="E12" s="1">
        <v>12.799999999999999</v>
      </c>
      <c r="F12" s="1">
        <f>ROUNDUP(Motor_2P_IE4_T[[#This Row],[Rated FL Amp (415V)(3Ph)]]*((SQRT(3)*$E$1)/$F$1),1)</f>
        <v>38.4</v>
      </c>
      <c r="G12" s="1">
        <v>91.7</v>
      </c>
      <c r="H12" s="1" t="s">
        <v>20</v>
      </c>
      <c r="I12" s="1">
        <v>0.89</v>
      </c>
      <c r="J12" s="1" t="s">
        <v>20</v>
      </c>
      <c r="K12" s="1">
        <v>80</v>
      </c>
      <c r="L12" s="1" t="s">
        <v>197</v>
      </c>
      <c r="O12">
        <v>13.9</v>
      </c>
      <c r="Q12" s="3">
        <f>ROUNDUP((O12*$O$2/$Q$2),1)</f>
        <v>12.799999999999999</v>
      </c>
    </row>
    <row r="13" spans="2:17" x14ac:dyDescent="0.3">
      <c r="B13" s="1">
        <v>15</v>
      </c>
      <c r="C13" s="1" t="s">
        <v>271</v>
      </c>
      <c r="D13" s="1">
        <v>2940</v>
      </c>
      <c r="E13" s="1">
        <v>18.5</v>
      </c>
      <c r="F13" s="1">
        <f>ROUNDUP(Motor_2P_IE4_T[[#This Row],[Rated FL Amp (415V)(3Ph)]]*((SQRT(3)*$E$1)/$F$1),1)</f>
        <v>55.5</v>
      </c>
      <c r="G13" s="1">
        <v>92.6</v>
      </c>
      <c r="H13" s="1" t="s">
        <v>20</v>
      </c>
      <c r="I13" s="1">
        <v>0.89</v>
      </c>
      <c r="J13" s="1" t="s">
        <v>20</v>
      </c>
      <c r="K13" s="1">
        <v>132</v>
      </c>
      <c r="L13" s="1" t="s">
        <v>198</v>
      </c>
      <c r="O13">
        <v>20.2</v>
      </c>
      <c r="Q13" s="3">
        <f t="shared" ref="Q13:Q20" si="1">ROUNDUP((O13*$O$2/$Q$2),1)</f>
        <v>18.5</v>
      </c>
    </row>
    <row r="14" spans="2:17" x14ac:dyDescent="0.3">
      <c r="B14" s="1">
        <v>20</v>
      </c>
      <c r="C14" s="1" t="s">
        <v>272</v>
      </c>
      <c r="D14" s="1">
        <v>2940</v>
      </c>
      <c r="E14" s="1">
        <v>25.1</v>
      </c>
      <c r="F14" s="1">
        <f>ROUNDUP(Motor_2P_IE4_T[[#This Row],[Rated FL Amp (415V)(3Ph)]]*((SQRT(3)*$E$1)/$F$1),1)</f>
        <v>75.199999999999989</v>
      </c>
      <c r="G14" s="1">
        <v>93.3</v>
      </c>
      <c r="H14" s="1" t="s">
        <v>20</v>
      </c>
      <c r="I14" s="1">
        <v>0.89</v>
      </c>
      <c r="J14" s="1" t="s">
        <v>20</v>
      </c>
      <c r="K14" s="1">
        <v>140</v>
      </c>
      <c r="L14" s="1" t="s">
        <v>198</v>
      </c>
      <c r="O14">
        <v>27.4</v>
      </c>
      <c r="Q14" s="3">
        <f t="shared" si="1"/>
        <v>25.1</v>
      </c>
    </row>
    <row r="15" spans="2:17" x14ac:dyDescent="0.3">
      <c r="B15" s="1">
        <v>25</v>
      </c>
      <c r="C15" s="1" t="s">
        <v>273</v>
      </c>
      <c r="D15" s="1">
        <v>2940</v>
      </c>
      <c r="E15" s="1">
        <v>30.8</v>
      </c>
      <c r="F15" s="1">
        <f>ROUNDUP(Motor_2P_IE4_T[[#This Row],[Rated FL Amp (415V)(3Ph)]]*((SQRT(3)*$E$1)/$F$1),1)</f>
        <v>92.3</v>
      </c>
      <c r="G15" s="1">
        <v>93.7</v>
      </c>
      <c r="H15" s="1" t="s">
        <v>20</v>
      </c>
      <c r="I15" s="1">
        <v>0.89</v>
      </c>
      <c r="J15" s="1" t="s">
        <v>20</v>
      </c>
      <c r="K15" s="1">
        <v>155</v>
      </c>
      <c r="L15" s="1" t="s">
        <v>199</v>
      </c>
      <c r="O15">
        <v>33.6</v>
      </c>
      <c r="Q15" s="3">
        <f t="shared" si="1"/>
        <v>30.8</v>
      </c>
    </row>
    <row r="16" spans="2:17" x14ac:dyDescent="0.3">
      <c r="B16" s="1">
        <v>30</v>
      </c>
      <c r="C16" s="1" t="s">
        <v>274</v>
      </c>
      <c r="D16" s="1">
        <v>2945</v>
      </c>
      <c r="E16" s="1">
        <v>36.5</v>
      </c>
      <c r="F16" s="1">
        <f>ROUNDUP(Motor_2P_IE4_T[[#This Row],[Rated FL Amp (415V)(3Ph)]]*((SQRT(3)*$E$1)/$F$1),1)</f>
        <v>109.39999999999999</v>
      </c>
      <c r="G16" s="1">
        <v>94</v>
      </c>
      <c r="H16" s="1" t="s">
        <v>20</v>
      </c>
      <c r="I16" s="1">
        <v>0.89</v>
      </c>
      <c r="J16" s="1" t="s">
        <v>20</v>
      </c>
      <c r="K16" s="1">
        <v>195</v>
      </c>
      <c r="L16" s="1" t="s">
        <v>200</v>
      </c>
      <c r="O16">
        <v>39.799999999999997</v>
      </c>
      <c r="Q16" s="3">
        <f t="shared" si="1"/>
        <v>36.5</v>
      </c>
    </row>
    <row r="17" spans="2:17" x14ac:dyDescent="0.3">
      <c r="B17" s="1">
        <v>40</v>
      </c>
      <c r="C17" s="1" t="s">
        <v>275</v>
      </c>
      <c r="D17" s="1">
        <v>2970</v>
      </c>
      <c r="E17" s="1">
        <v>49.7</v>
      </c>
      <c r="F17" s="1">
        <f>ROUNDUP(Motor_2P_IE4_T[[#This Row],[Rated FL Amp (415V)(3Ph)]]*((SQRT(3)*$E$1)/$F$1),1)</f>
        <v>148.9</v>
      </c>
      <c r="G17" s="1">
        <v>94.5</v>
      </c>
      <c r="H17" s="1" t="s">
        <v>20</v>
      </c>
      <c r="I17" s="1">
        <v>0.89</v>
      </c>
      <c r="J17" s="1" t="s">
        <v>20</v>
      </c>
      <c r="K17" s="1">
        <v>256</v>
      </c>
      <c r="L17" s="1" t="s">
        <v>201</v>
      </c>
      <c r="O17">
        <v>54.2</v>
      </c>
      <c r="Q17" s="3">
        <f t="shared" si="1"/>
        <v>49.7</v>
      </c>
    </row>
    <row r="18" spans="2:17" x14ac:dyDescent="0.3">
      <c r="B18" s="1">
        <v>50</v>
      </c>
      <c r="C18" s="1" t="s">
        <v>276</v>
      </c>
      <c r="D18" s="1">
        <v>2970</v>
      </c>
      <c r="E18" s="1">
        <v>61</v>
      </c>
      <c r="F18" s="1">
        <f>ROUNDUP(Motor_2P_IE4_T[[#This Row],[Rated FL Amp (415V)(3Ph)]]*((SQRT(3)*$E$1)/$F$1),1)</f>
        <v>182.7</v>
      </c>
      <c r="G18" s="1">
        <v>94.8</v>
      </c>
      <c r="H18" s="1" t="s">
        <v>20</v>
      </c>
      <c r="I18" s="1">
        <v>0.89</v>
      </c>
      <c r="J18" s="1" t="s">
        <v>20</v>
      </c>
      <c r="K18" s="1">
        <v>285</v>
      </c>
      <c r="L18" s="1" t="s">
        <v>201</v>
      </c>
      <c r="O18">
        <v>66.599999999999994</v>
      </c>
      <c r="Q18" s="3">
        <f t="shared" si="1"/>
        <v>61</v>
      </c>
    </row>
    <row r="19" spans="2:17" x14ac:dyDescent="0.3">
      <c r="B19" s="1">
        <v>60</v>
      </c>
      <c r="C19" s="1" t="s">
        <v>277</v>
      </c>
      <c r="D19" s="1">
        <v>2970</v>
      </c>
      <c r="E19" s="1">
        <v>74</v>
      </c>
      <c r="F19" s="1">
        <f>ROUNDUP(Motor_2P_IE4_T[[#This Row],[Rated FL Amp (415V)(3Ph)]]*((SQRT(3)*$E$1)/$F$1),1)</f>
        <v>221.7</v>
      </c>
      <c r="G19" s="1">
        <v>95</v>
      </c>
      <c r="H19" s="1" t="s">
        <v>20</v>
      </c>
      <c r="I19" s="1">
        <v>0.89</v>
      </c>
      <c r="J19" s="1" t="s">
        <v>20</v>
      </c>
      <c r="K19" s="1">
        <v>345</v>
      </c>
      <c r="L19" s="1" t="s">
        <v>202</v>
      </c>
      <c r="O19">
        <v>80.8</v>
      </c>
      <c r="Q19" s="3">
        <f t="shared" si="1"/>
        <v>74</v>
      </c>
    </row>
    <row r="20" spans="2:17" x14ac:dyDescent="0.3">
      <c r="B20" s="1">
        <v>75</v>
      </c>
      <c r="C20" s="1" t="s">
        <v>278</v>
      </c>
      <c r="D20" s="1">
        <v>2970</v>
      </c>
      <c r="E20" s="1">
        <v>90.199999999999989</v>
      </c>
      <c r="F20" s="1">
        <f>ROUNDUP(Motor_2P_IE4_T[[#This Row],[Rated FL Amp (415V)(3Ph)]]*((SQRT(3)*$E$1)/$F$1),1)</f>
        <v>270.20000000000005</v>
      </c>
      <c r="G20" s="1">
        <v>95.3</v>
      </c>
      <c r="H20" s="1" t="s">
        <v>20</v>
      </c>
      <c r="I20" s="1">
        <v>0.89</v>
      </c>
      <c r="J20" s="1" t="s">
        <v>20</v>
      </c>
      <c r="K20" s="1">
        <v>450</v>
      </c>
      <c r="L20" s="1" t="s">
        <v>203</v>
      </c>
      <c r="O20">
        <v>98.5</v>
      </c>
      <c r="Q20" s="3">
        <f t="shared" si="1"/>
        <v>90.199999999999989</v>
      </c>
    </row>
    <row r="21" spans="2:17" x14ac:dyDescent="0.3">
      <c r="B21" s="1">
        <v>100</v>
      </c>
      <c r="C21" s="1" t="s">
        <v>279</v>
      </c>
      <c r="D21" s="1">
        <v>2980</v>
      </c>
      <c r="E21" s="1">
        <v>123</v>
      </c>
      <c r="F21" s="1">
        <f>ROUNDUP(Motor_2P_IE4_T[[#This Row],[Rated FL Amp (415V)(3Ph)]]*((SQRT(3)*$E$1)/$F$1),1)</f>
        <v>368.40000000000003</v>
      </c>
      <c r="G21" s="1">
        <v>95.6</v>
      </c>
      <c r="H21" s="1" t="s">
        <v>20</v>
      </c>
      <c r="I21" s="1">
        <v>0.89</v>
      </c>
      <c r="J21" s="1" t="s">
        <v>20</v>
      </c>
      <c r="K21" s="1">
        <v>588</v>
      </c>
      <c r="L21" s="1" t="s">
        <v>204</v>
      </c>
      <c r="O21">
        <v>134</v>
      </c>
      <c r="Q21" s="4">
        <f>ROUNDUP((O21*$O$2/$Q$2),0)</f>
        <v>123</v>
      </c>
    </row>
    <row r="22" spans="2:17" x14ac:dyDescent="0.3">
      <c r="B22" s="1">
        <v>125</v>
      </c>
      <c r="C22" s="1" t="s">
        <v>280</v>
      </c>
      <c r="D22" s="1">
        <v>2980</v>
      </c>
      <c r="E22" s="1">
        <v>147</v>
      </c>
      <c r="F22" s="1">
        <f>ROUNDUP(Motor_2P_IE4_T[[#This Row],[Rated FL Amp (415V)(3Ph)]]*((SQRT(3)*$E$1)/$F$1),1)</f>
        <v>440.3</v>
      </c>
      <c r="G22" s="1">
        <v>95.8</v>
      </c>
      <c r="H22" s="1" t="s">
        <v>20</v>
      </c>
      <c r="I22" s="1">
        <v>0.89</v>
      </c>
      <c r="J22" s="1" t="s">
        <v>20</v>
      </c>
      <c r="K22" s="1">
        <v>660</v>
      </c>
      <c r="L22" s="1" t="s">
        <v>205</v>
      </c>
      <c r="O22">
        <v>160</v>
      </c>
      <c r="Q22" s="4">
        <f t="shared" ref="Q22:Q33" si="2">ROUNDUP((O22*$O$2/$Q$2),0)</f>
        <v>147</v>
      </c>
    </row>
    <row r="23" spans="2:17" x14ac:dyDescent="0.3">
      <c r="B23" s="1">
        <v>150</v>
      </c>
      <c r="C23" s="1" t="s">
        <v>281</v>
      </c>
      <c r="D23" s="1">
        <v>2985</v>
      </c>
      <c r="E23" s="1">
        <v>180</v>
      </c>
      <c r="F23" s="1">
        <f>ROUNDUP(Motor_2P_IE4_T[[#This Row],[Rated FL Amp (415V)(3Ph)]]*((SQRT(3)*$E$1)/$F$1),1)</f>
        <v>539.20000000000005</v>
      </c>
      <c r="G23" s="1">
        <v>96</v>
      </c>
      <c r="H23" s="1" t="s">
        <v>20</v>
      </c>
      <c r="I23" s="1">
        <v>0.89</v>
      </c>
      <c r="J23" s="1" t="s">
        <v>20</v>
      </c>
      <c r="K23" s="1">
        <v>960</v>
      </c>
      <c r="L23" s="1" t="s">
        <v>206</v>
      </c>
      <c r="O23">
        <v>196</v>
      </c>
      <c r="Q23" s="4">
        <f t="shared" si="2"/>
        <v>180</v>
      </c>
    </row>
    <row r="24" spans="2:17" x14ac:dyDescent="0.3">
      <c r="B24" s="1">
        <v>175</v>
      </c>
      <c r="C24" s="1" t="s">
        <v>282</v>
      </c>
      <c r="D24" s="1">
        <v>2985</v>
      </c>
      <c r="E24" s="1">
        <v>216</v>
      </c>
      <c r="F24" s="1">
        <f>ROUNDUP(Motor_2P_IE4_T[[#This Row],[Rated FL Amp (415V)(3Ph)]]*((SQRT(3)*$E$1)/$F$1),1)</f>
        <v>647</v>
      </c>
      <c r="G24" s="1">
        <v>96.2</v>
      </c>
      <c r="H24" s="1" t="s">
        <v>20</v>
      </c>
      <c r="I24" s="1">
        <v>0.89</v>
      </c>
      <c r="J24" s="1" t="s">
        <v>20</v>
      </c>
      <c r="K24" s="1">
        <v>1060</v>
      </c>
      <c r="L24" s="1" t="s">
        <v>207</v>
      </c>
      <c r="O24">
        <v>235</v>
      </c>
      <c r="Q24" s="4">
        <f t="shared" si="2"/>
        <v>216</v>
      </c>
    </row>
    <row r="25" spans="2:17" x14ac:dyDescent="0.3">
      <c r="B25" s="1">
        <v>215</v>
      </c>
      <c r="C25" s="1" t="s">
        <v>283</v>
      </c>
      <c r="D25" s="1">
        <v>2985</v>
      </c>
      <c r="E25" s="1">
        <v>261</v>
      </c>
      <c r="F25" s="1">
        <f>ROUNDUP(Motor_2P_IE4_T[[#This Row],[Rated FL Amp (415V)(3Ph)]]*((SQRT(3)*$E$1)/$F$1),1)</f>
        <v>781.7</v>
      </c>
      <c r="G25" s="1">
        <v>96.3</v>
      </c>
      <c r="H25" s="1" t="s">
        <v>20</v>
      </c>
      <c r="I25" s="1">
        <v>0.89</v>
      </c>
      <c r="J25" s="1" t="s">
        <v>20</v>
      </c>
      <c r="K25" s="1">
        <v>1185</v>
      </c>
      <c r="L25" s="1" t="s">
        <v>208</v>
      </c>
      <c r="O25">
        <v>284</v>
      </c>
      <c r="Q25" s="4">
        <f t="shared" si="2"/>
        <v>261</v>
      </c>
    </row>
    <row r="26" spans="2:17" x14ac:dyDescent="0.3">
      <c r="B26" s="1">
        <v>250</v>
      </c>
      <c r="C26" s="1" t="s">
        <v>287</v>
      </c>
      <c r="D26" s="1">
        <v>2985</v>
      </c>
      <c r="E26" s="1">
        <v>301</v>
      </c>
      <c r="F26" s="1">
        <f>ROUNDUP(Motor_2P_IE4_T[[#This Row],[Rated FL Amp (415V)(3Ph)]]*((SQRT(3)*$E$1)/$F$1),1)</f>
        <v>901.5</v>
      </c>
      <c r="G26" s="1">
        <v>96.5</v>
      </c>
      <c r="H26" s="1" t="s">
        <v>20</v>
      </c>
      <c r="I26" s="1">
        <v>0.89</v>
      </c>
      <c r="J26" s="1" t="s">
        <v>20</v>
      </c>
      <c r="K26" s="1">
        <v>1320</v>
      </c>
      <c r="L26" s="1" t="s">
        <v>208</v>
      </c>
      <c r="O26">
        <v>328</v>
      </c>
      <c r="Q26" s="4">
        <f t="shared" si="2"/>
        <v>301</v>
      </c>
    </row>
    <row r="27" spans="2:17" x14ac:dyDescent="0.3">
      <c r="B27" s="1">
        <v>270</v>
      </c>
      <c r="C27" s="1" t="s">
        <v>284</v>
      </c>
      <c r="D27" s="1">
        <v>2985</v>
      </c>
      <c r="E27" s="1">
        <v>326</v>
      </c>
      <c r="F27" s="1">
        <f>ROUNDUP(Motor_2P_IE4_T[[#This Row],[Rated FL Amp (415V)(3Ph)]]*((SQRT(3)*$E$1)/$F$1),1)</f>
        <v>976.4</v>
      </c>
      <c r="G27" s="1">
        <v>96.5</v>
      </c>
      <c r="H27" s="1" t="s">
        <v>20</v>
      </c>
      <c r="I27" s="1">
        <v>0.89</v>
      </c>
      <c r="J27" s="1" t="s">
        <v>20</v>
      </c>
      <c r="K27" s="1">
        <v>1320</v>
      </c>
      <c r="L27" s="1" t="s">
        <v>208</v>
      </c>
      <c r="O27">
        <v>355</v>
      </c>
      <c r="Q27" s="4">
        <f t="shared" si="2"/>
        <v>326</v>
      </c>
    </row>
    <row r="28" spans="2:17" x14ac:dyDescent="0.3">
      <c r="B28" s="1">
        <v>300</v>
      </c>
      <c r="C28" s="1" t="s">
        <v>288</v>
      </c>
      <c r="D28" s="1">
        <v>2990</v>
      </c>
      <c r="E28" s="1">
        <v>349</v>
      </c>
      <c r="F28" s="1">
        <f>ROUNDUP(Motor_2P_IE4_T[[#This Row],[Rated FL Amp (415V)(3Ph)]]*((SQRT(3)*$E$1)/$F$1),1)</f>
        <v>1045.3</v>
      </c>
      <c r="G28" s="1">
        <v>96.5</v>
      </c>
      <c r="H28" s="1" t="s">
        <v>20</v>
      </c>
      <c r="I28" s="1">
        <v>0.91</v>
      </c>
      <c r="J28" s="1" t="s">
        <v>20</v>
      </c>
      <c r="K28" s="1">
        <v>1870</v>
      </c>
      <c r="L28" s="1" t="s">
        <v>209</v>
      </c>
      <c r="O28">
        <v>381</v>
      </c>
      <c r="Q28" s="4">
        <f t="shared" si="2"/>
        <v>349</v>
      </c>
    </row>
    <row r="29" spans="2:17" x14ac:dyDescent="0.3">
      <c r="B29" s="1">
        <v>335</v>
      </c>
      <c r="C29" s="1" t="s">
        <v>285</v>
      </c>
      <c r="D29" s="1">
        <v>2990</v>
      </c>
      <c r="E29" s="1">
        <v>397</v>
      </c>
      <c r="F29" s="1">
        <f>ROUNDUP(Motor_2P_IE4_T[[#This Row],[Rated FL Amp (415V)(3Ph)]]*((SQRT(3)*$E$1)/$F$1),1)</f>
        <v>1189.0999999999999</v>
      </c>
      <c r="G29" s="1">
        <v>96.5</v>
      </c>
      <c r="H29" s="1" t="s">
        <v>20</v>
      </c>
      <c r="I29" s="1">
        <v>0.91</v>
      </c>
      <c r="J29" s="1" t="s">
        <v>20</v>
      </c>
      <c r="K29" s="1">
        <v>1950</v>
      </c>
      <c r="L29" s="1" t="s">
        <v>209</v>
      </c>
      <c r="O29">
        <v>433</v>
      </c>
      <c r="Q29" s="4">
        <f t="shared" si="2"/>
        <v>397</v>
      </c>
    </row>
    <row r="30" spans="2:17" x14ac:dyDescent="0.3">
      <c r="B30" s="1">
        <v>375</v>
      </c>
      <c r="C30" s="1" t="s">
        <v>289</v>
      </c>
      <c r="D30" s="1">
        <v>2990</v>
      </c>
      <c r="E30" s="1">
        <v>444</v>
      </c>
      <c r="F30" s="1">
        <f>ROUNDUP(Motor_2P_IE4_T[[#This Row],[Rated FL Amp (415V)(3Ph)]]*((SQRT(3)*$E$1)/$F$1),1)</f>
        <v>1329.8</v>
      </c>
      <c r="G30" s="1">
        <v>96.5</v>
      </c>
      <c r="H30" s="1" t="s">
        <v>20</v>
      </c>
      <c r="I30" s="1">
        <v>0.91</v>
      </c>
      <c r="J30" s="1" t="s">
        <v>20</v>
      </c>
      <c r="K30" s="1">
        <v>2080</v>
      </c>
      <c r="L30" s="1" t="s">
        <v>210</v>
      </c>
      <c r="O30">
        <v>484</v>
      </c>
      <c r="Q30" s="4">
        <f t="shared" si="2"/>
        <v>444</v>
      </c>
    </row>
    <row r="31" spans="2:17" x14ac:dyDescent="0.3">
      <c r="B31" s="1">
        <v>420</v>
      </c>
      <c r="C31" s="1" t="s">
        <v>286</v>
      </c>
      <c r="D31" s="1">
        <v>2990</v>
      </c>
      <c r="E31" s="1">
        <v>500</v>
      </c>
      <c r="F31" s="1">
        <f>ROUNDUP(Motor_2P_IE4_T[[#This Row],[Rated FL Amp (415V)(3Ph)]]*((SQRT(3)*$E$1)/$F$1),1)</f>
        <v>1497.6</v>
      </c>
      <c r="G31" s="1">
        <v>96.5</v>
      </c>
      <c r="H31" s="1" t="s">
        <v>20</v>
      </c>
      <c r="I31" s="1">
        <v>0.91</v>
      </c>
      <c r="J31" s="1" t="s">
        <v>20</v>
      </c>
      <c r="K31" s="1">
        <v>2100</v>
      </c>
      <c r="L31" s="1" t="s">
        <v>210</v>
      </c>
      <c r="O31">
        <v>545</v>
      </c>
      <c r="Q31" s="4">
        <f t="shared" si="2"/>
        <v>500</v>
      </c>
    </row>
    <row r="32" spans="2:17" x14ac:dyDescent="0.3">
      <c r="B32" s="1">
        <v>475</v>
      </c>
      <c r="C32" s="1" t="s">
        <v>290</v>
      </c>
      <c r="D32" s="1">
        <v>2990</v>
      </c>
      <c r="E32" s="1">
        <v>562</v>
      </c>
      <c r="F32" s="1">
        <f>ROUNDUP(Motor_2P_IE4_T[[#This Row],[Rated FL Amp (415V)(3Ph)]]*((SQRT(3)*$E$1)/$F$1),1)</f>
        <v>1683.1999999999998</v>
      </c>
      <c r="G32" s="1">
        <v>96.5</v>
      </c>
      <c r="H32" s="1" t="s">
        <v>20</v>
      </c>
      <c r="I32" s="1">
        <v>0.91</v>
      </c>
      <c r="J32" s="1" t="s">
        <v>20</v>
      </c>
      <c r="K32" s="1">
        <v>2220</v>
      </c>
      <c r="L32" s="1" t="s">
        <v>292</v>
      </c>
      <c r="O32">
        <v>613</v>
      </c>
      <c r="Q32" s="4">
        <f t="shared" si="2"/>
        <v>562</v>
      </c>
    </row>
    <row r="33" spans="2:17" x14ac:dyDescent="0.3">
      <c r="B33" s="1">
        <v>500</v>
      </c>
      <c r="C33" s="1" t="s">
        <v>291</v>
      </c>
      <c r="D33" s="1">
        <v>2990</v>
      </c>
      <c r="E33" s="1">
        <v>600</v>
      </c>
      <c r="F33" s="1">
        <f>ROUNDUP(Motor_2P_IE4_T[[#This Row],[Rated FL Amp (415V)(3Ph)]]*((SQRT(3)*$E$1)/$F$1),1)</f>
        <v>1797.1</v>
      </c>
      <c r="G33" s="1">
        <v>96.5</v>
      </c>
      <c r="H33" s="1" t="s">
        <v>20</v>
      </c>
      <c r="I33" s="1">
        <v>0.9</v>
      </c>
      <c r="J33" s="1" t="s">
        <v>20</v>
      </c>
      <c r="K33" s="1">
        <v>2310</v>
      </c>
      <c r="L33" s="1" t="s">
        <v>292</v>
      </c>
      <c r="O33">
        <v>655</v>
      </c>
      <c r="Q33" s="4">
        <f t="shared" si="2"/>
        <v>600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B991-C146-4697-A04C-DA4F0C5AE179}">
  <dimension ref="B1:Q33"/>
  <sheetViews>
    <sheetView topLeftCell="D10" workbookViewId="0">
      <selection activeCell="L4" sqref="L4:L33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  <col min="17" max="17" width="9.5546875" bestFit="1" customWidth="1"/>
  </cols>
  <sheetData>
    <row r="1" spans="2:17" x14ac:dyDescent="0.3">
      <c r="E1" s="1">
        <v>415</v>
      </c>
      <c r="F1" s="1">
        <v>240</v>
      </c>
    </row>
    <row r="2" spans="2:17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  <c r="O2">
        <v>380</v>
      </c>
      <c r="Q2">
        <v>415</v>
      </c>
    </row>
    <row r="3" spans="2:17" x14ac:dyDescent="0.3">
      <c r="B3" s="1">
        <v>0.5</v>
      </c>
      <c r="C3" s="1" t="s">
        <v>294</v>
      </c>
      <c r="D3" s="1">
        <v>1355</v>
      </c>
      <c r="E3" s="1">
        <v>0.85</v>
      </c>
      <c r="F3" s="1">
        <f>ROUNDUP(Motor_4P_IE4_T[[#This Row],[Rated FL Amp (415V)(3Ph)]]*((SQRT(3)*$E$1)/$F$1),1)</f>
        <v>2.6</v>
      </c>
      <c r="G3" s="1">
        <v>81.099999999999994</v>
      </c>
      <c r="H3" s="1" t="s">
        <v>20</v>
      </c>
      <c r="I3" s="1">
        <v>0.74</v>
      </c>
      <c r="J3" s="1" t="s">
        <v>20</v>
      </c>
      <c r="K3" s="1">
        <v>8.1999999999999993</v>
      </c>
      <c r="L3" s="1" t="s">
        <v>238</v>
      </c>
      <c r="Q3" s="2">
        <f t="shared" ref="Q3:Q4" si="0">ROUNDUP((O3*$O$2/$Q$2),2)</f>
        <v>0</v>
      </c>
    </row>
    <row r="4" spans="2:17" x14ac:dyDescent="0.3">
      <c r="B4" s="1">
        <v>0.75</v>
      </c>
      <c r="C4" s="1" t="s">
        <v>295</v>
      </c>
      <c r="D4" s="1">
        <v>1425</v>
      </c>
      <c r="E4" s="1">
        <v>1.24</v>
      </c>
      <c r="F4" s="1">
        <f>ROUNDUP(Motor_4P_IE4_T[[#This Row],[Rated FL Amp (415V)(3Ph)]]*((SQRT(3)*$E$1)/$F$1),1)</f>
        <v>3.8000000000000003</v>
      </c>
      <c r="G4" s="1">
        <v>83.9</v>
      </c>
      <c r="H4" s="1" t="s">
        <v>20</v>
      </c>
      <c r="I4" s="1">
        <v>0.74</v>
      </c>
      <c r="J4" s="1" t="s">
        <v>20</v>
      </c>
      <c r="K4" s="1">
        <v>18</v>
      </c>
      <c r="L4" s="1" t="s">
        <v>239</v>
      </c>
      <c r="O4">
        <v>1.35</v>
      </c>
      <c r="Q4" s="2">
        <f t="shared" si="0"/>
        <v>1.24</v>
      </c>
    </row>
    <row r="5" spans="2:17" x14ac:dyDescent="0.3">
      <c r="B5" s="1">
        <v>1</v>
      </c>
      <c r="C5" s="1" t="s">
        <v>296</v>
      </c>
      <c r="D5" s="1">
        <v>1425</v>
      </c>
      <c r="E5" s="1">
        <v>1.65</v>
      </c>
      <c r="F5" s="1">
        <f>ROUNDUP(Motor_4P_IE4_T[[#This Row],[Rated FL Amp (415V)(3Ph)]]*((SQRT(3)*$E$1)/$F$1),1)</f>
        <v>5</v>
      </c>
      <c r="G5" s="1">
        <v>85.7</v>
      </c>
      <c r="H5" s="1" t="s">
        <v>20</v>
      </c>
      <c r="I5" s="1">
        <v>0.74</v>
      </c>
      <c r="J5" s="1" t="s">
        <v>20</v>
      </c>
      <c r="K5" s="1">
        <v>20</v>
      </c>
      <c r="L5" s="1" t="s">
        <v>239</v>
      </c>
      <c r="O5">
        <v>1.8</v>
      </c>
      <c r="Q5" s="2">
        <f>ROUNDUP((O5*$O$2/$Q$2),2)</f>
        <v>1.65</v>
      </c>
    </row>
    <row r="6" spans="2:17" x14ac:dyDescent="0.3">
      <c r="B6" s="1">
        <v>1.5</v>
      </c>
      <c r="C6" s="1" t="s">
        <v>297</v>
      </c>
      <c r="D6" s="1">
        <v>1430</v>
      </c>
      <c r="E6" s="1">
        <v>2.34</v>
      </c>
      <c r="F6" s="1">
        <f>ROUNDUP(Motor_4P_IE4_T[[#This Row],[Rated FL Amp (415V)(3Ph)]]*((SQRT(3)*$E$1)/$F$1),1)</f>
        <v>7.1</v>
      </c>
      <c r="G6" s="1">
        <v>87.5</v>
      </c>
      <c r="H6" s="1" t="s">
        <v>20</v>
      </c>
      <c r="I6" s="1">
        <v>0.75</v>
      </c>
      <c r="J6" s="1" t="s">
        <v>20</v>
      </c>
      <c r="K6" s="1">
        <v>25</v>
      </c>
      <c r="L6" s="1" t="s">
        <v>240</v>
      </c>
      <c r="O6">
        <v>2.5499999999999998</v>
      </c>
      <c r="Q6" s="2">
        <f t="shared" ref="Q6:Q10" si="1">ROUNDUP((O6*$O$2/$Q$2),2)</f>
        <v>2.34</v>
      </c>
    </row>
    <row r="7" spans="2:17" x14ac:dyDescent="0.3">
      <c r="B7" s="1">
        <v>2</v>
      </c>
      <c r="C7" s="1" t="s">
        <v>298</v>
      </c>
      <c r="D7" s="1">
        <v>1430</v>
      </c>
      <c r="E7" s="1">
        <v>3.0399999999999996</v>
      </c>
      <c r="F7" s="1">
        <f>ROUNDUP(Motor_4P_IE4_T[[#This Row],[Rated FL Amp (415V)(3Ph)]]*((SQRT(3)*$E$1)/$F$1),1)</f>
        <v>9.1999999999999993</v>
      </c>
      <c r="G7" s="1">
        <v>88.2</v>
      </c>
      <c r="H7" s="1" t="s">
        <v>20</v>
      </c>
      <c r="I7" s="1">
        <v>0.78</v>
      </c>
      <c r="J7" s="1" t="s">
        <v>20</v>
      </c>
      <c r="K7" s="1">
        <v>30</v>
      </c>
      <c r="L7" s="1" t="s">
        <v>241</v>
      </c>
      <c r="O7">
        <v>3.31</v>
      </c>
      <c r="Q7" s="2">
        <f t="shared" si="1"/>
        <v>3.0399999999999996</v>
      </c>
    </row>
    <row r="8" spans="2:17" x14ac:dyDescent="0.3">
      <c r="B8" s="1">
        <v>3</v>
      </c>
      <c r="C8" s="1" t="s">
        <v>299</v>
      </c>
      <c r="D8" s="1">
        <v>1435</v>
      </c>
      <c r="E8" s="1">
        <v>4.3199999999999994</v>
      </c>
      <c r="F8" s="1">
        <f>ROUNDUP(Motor_4P_IE4_T[[#This Row],[Rated FL Amp (415V)(3Ph)]]*((SQRT(3)*$E$1)/$F$1),1)</f>
        <v>13</v>
      </c>
      <c r="G8" s="1">
        <v>89.5</v>
      </c>
      <c r="H8" s="1" t="s">
        <v>20</v>
      </c>
      <c r="I8" s="1">
        <v>0.79</v>
      </c>
      <c r="J8" s="1" t="s">
        <v>20</v>
      </c>
      <c r="K8" s="1">
        <v>38</v>
      </c>
      <c r="L8" s="1" t="s">
        <v>242</v>
      </c>
      <c r="O8">
        <v>4.71</v>
      </c>
      <c r="Q8" s="2">
        <f t="shared" si="1"/>
        <v>4.3199999999999994</v>
      </c>
    </row>
    <row r="9" spans="2:17" x14ac:dyDescent="0.3">
      <c r="B9" s="1">
        <v>4</v>
      </c>
      <c r="C9" s="1" t="s">
        <v>300</v>
      </c>
      <c r="D9" s="1">
        <v>1440</v>
      </c>
      <c r="E9" s="1">
        <v>5.7799999999999994</v>
      </c>
      <c r="F9" s="1">
        <f>ROUNDUP(Motor_4P_IE4_T[[#This Row],[Rated FL Amp (415V)(3Ph)]]*((SQRT(3)*$E$1)/$F$1),1)</f>
        <v>17.400000000000002</v>
      </c>
      <c r="G9" s="1">
        <v>90.4</v>
      </c>
      <c r="H9" s="1" t="s">
        <v>20</v>
      </c>
      <c r="I9" s="1">
        <v>0.8</v>
      </c>
      <c r="J9" s="1" t="s">
        <v>20</v>
      </c>
      <c r="K9" s="1">
        <v>42</v>
      </c>
      <c r="L9" s="1" t="s">
        <v>242</v>
      </c>
      <c r="O9">
        <v>6.31</v>
      </c>
      <c r="Q9" s="2">
        <f t="shared" si="1"/>
        <v>5.7799999999999994</v>
      </c>
    </row>
    <row r="10" spans="2:17" x14ac:dyDescent="0.3">
      <c r="B10" s="1">
        <v>5.5</v>
      </c>
      <c r="C10" s="1" t="s">
        <v>301</v>
      </c>
      <c r="D10" s="1">
        <v>1450</v>
      </c>
      <c r="E10" s="1">
        <v>7.6499999999999995</v>
      </c>
      <c r="F10" s="1">
        <f>ROUNDUP(Motor_4P_IE4_T[[#This Row],[Rated FL Amp (415V)(3Ph)]]*((SQRT(3)*$E$1)/$F$1),1)</f>
        <v>23</v>
      </c>
      <c r="G10" s="1">
        <v>91.1</v>
      </c>
      <c r="H10" s="1" t="s">
        <v>20</v>
      </c>
      <c r="I10" s="1">
        <v>0.8</v>
      </c>
      <c r="J10" s="1" t="s">
        <v>20</v>
      </c>
      <c r="K10" s="1">
        <v>55</v>
      </c>
      <c r="L10" s="1" t="s">
        <v>243</v>
      </c>
      <c r="O10">
        <v>8.35</v>
      </c>
      <c r="Q10" s="2">
        <f t="shared" si="1"/>
        <v>7.6499999999999995</v>
      </c>
    </row>
    <row r="11" spans="2:17" x14ac:dyDescent="0.3">
      <c r="B11" s="1">
        <v>7.5</v>
      </c>
      <c r="C11" s="1" t="s">
        <v>302</v>
      </c>
      <c r="D11" s="1">
        <v>1460</v>
      </c>
      <c r="E11" s="1">
        <v>10.4</v>
      </c>
      <c r="F11" s="1">
        <f>ROUNDUP(Motor_4P_IE4_T[[#This Row],[Rated FL Amp (415V)(3Ph)]]*((SQRT(3)*$E$1)/$F$1),1)</f>
        <v>31.200000000000003</v>
      </c>
      <c r="G11" s="1">
        <v>91.9</v>
      </c>
      <c r="H11" s="1" t="s">
        <v>20</v>
      </c>
      <c r="I11" s="1">
        <v>0.8</v>
      </c>
      <c r="J11" s="1" t="s">
        <v>20</v>
      </c>
      <c r="K11" s="1">
        <v>77</v>
      </c>
      <c r="L11" s="1" t="s">
        <v>244</v>
      </c>
      <c r="O11">
        <v>11.3</v>
      </c>
      <c r="Q11" s="5">
        <f>ROUNDUP((O11*$O$2/$Q$2),1)</f>
        <v>10.4</v>
      </c>
    </row>
    <row r="12" spans="2:17" x14ac:dyDescent="0.3">
      <c r="B12" s="1">
        <v>10</v>
      </c>
      <c r="C12" s="1" t="s">
        <v>303</v>
      </c>
      <c r="D12" s="1">
        <v>1460</v>
      </c>
      <c r="E12" s="1">
        <v>14</v>
      </c>
      <c r="F12" s="1">
        <f>ROUNDUP(Motor_4P_IE4_T[[#This Row],[Rated FL Amp (415V)(3Ph)]]*((SQRT(3)*$E$1)/$F$1),1)</f>
        <v>42</v>
      </c>
      <c r="G12" s="1">
        <v>92.6</v>
      </c>
      <c r="H12" s="1" t="s">
        <v>20</v>
      </c>
      <c r="I12" s="1">
        <v>0.81</v>
      </c>
      <c r="J12" s="1" t="s">
        <v>20</v>
      </c>
      <c r="K12" s="1">
        <v>82</v>
      </c>
      <c r="L12" s="1" t="s">
        <v>246</v>
      </c>
      <c r="O12">
        <v>15.2</v>
      </c>
      <c r="Q12" s="3">
        <f>ROUNDUP((O12*$O$2/$Q$2),1)</f>
        <v>14</v>
      </c>
    </row>
    <row r="13" spans="2:17" x14ac:dyDescent="0.3">
      <c r="B13" s="1">
        <v>15</v>
      </c>
      <c r="C13" s="1" t="s">
        <v>304</v>
      </c>
      <c r="D13" s="1">
        <v>1470</v>
      </c>
      <c r="E13" s="1">
        <v>19.700000000000003</v>
      </c>
      <c r="F13" s="1">
        <f>ROUNDUP(Motor_4P_IE4_T[[#This Row],[Rated FL Amp (415V)(3Ph)]]*((SQRT(3)*$E$1)/$F$1),1)</f>
        <v>59.1</v>
      </c>
      <c r="G13" s="1">
        <v>93.3</v>
      </c>
      <c r="H13" s="1" t="s">
        <v>20</v>
      </c>
      <c r="I13" s="1">
        <v>0.83</v>
      </c>
      <c r="J13" s="1" t="s">
        <v>20</v>
      </c>
      <c r="K13" s="1">
        <v>136</v>
      </c>
      <c r="L13" s="1" t="s">
        <v>245</v>
      </c>
      <c r="O13">
        <v>21.5</v>
      </c>
      <c r="Q13" s="3">
        <f t="shared" ref="Q13:Q20" si="2">ROUNDUP((O13*$O$2/$Q$2),1)</f>
        <v>19.700000000000003</v>
      </c>
    </row>
    <row r="14" spans="2:17" x14ac:dyDescent="0.3">
      <c r="B14" s="1">
        <v>20</v>
      </c>
      <c r="C14" s="1" t="s">
        <v>305</v>
      </c>
      <c r="D14" s="1">
        <v>1470</v>
      </c>
      <c r="E14" s="1">
        <v>26.400000000000002</v>
      </c>
      <c r="F14" s="1">
        <f>ROUNDUP(Motor_4P_IE4_T[[#This Row],[Rated FL Amp (415V)(3Ph)]]*((SQRT(3)*$E$1)/$F$1),1)</f>
        <v>79.099999999999994</v>
      </c>
      <c r="G14" s="1">
        <v>93.9</v>
      </c>
      <c r="H14" s="1" t="s">
        <v>20</v>
      </c>
      <c r="I14" s="1">
        <v>0.84</v>
      </c>
      <c r="J14" s="1" t="s">
        <v>20</v>
      </c>
      <c r="K14" s="1">
        <v>155</v>
      </c>
      <c r="L14" s="1" t="s">
        <v>247</v>
      </c>
      <c r="O14">
        <v>28.8</v>
      </c>
      <c r="Q14" s="3">
        <f t="shared" si="2"/>
        <v>26.400000000000002</v>
      </c>
    </row>
    <row r="15" spans="2:17" x14ac:dyDescent="0.3">
      <c r="B15" s="1">
        <v>25</v>
      </c>
      <c r="C15" s="1" t="s">
        <v>306</v>
      </c>
      <c r="D15" s="1">
        <v>1475</v>
      </c>
      <c r="E15" s="1">
        <v>32.200000000000003</v>
      </c>
      <c r="F15" s="1">
        <f>ROUNDUP(Motor_4P_IE4_T[[#This Row],[Rated FL Amp (415V)(3Ph)]]*((SQRT(3)*$E$1)/$F$1),1)</f>
        <v>96.5</v>
      </c>
      <c r="G15" s="1">
        <v>94.2</v>
      </c>
      <c r="H15" s="1" t="s">
        <v>20</v>
      </c>
      <c r="I15" s="1">
        <v>0.85</v>
      </c>
      <c r="J15" s="1" t="s">
        <v>20</v>
      </c>
      <c r="K15" s="1">
        <v>190</v>
      </c>
      <c r="L15" s="1" t="s">
        <v>248</v>
      </c>
      <c r="O15">
        <v>35.1</v>
      </c>
      <c r="Q15" s="3">
        <f t="shared" si="2"/>
        <v>32.200000000000003</v>
      </c>
    </row>
    <row r="16" spans="2:17" x14ac:dyDescent="0.3">
      <c r="B16" s="1">
        <v>30</v>
      </c>
      <c r="C16" s="1" t="s">
        <v>307</v>
      </c>
      <c r="D16" s="1">
        <v>1475</v>
      </c>
      <c r="E16" s="1">
        <v>38</v>
      </c>
      <c r="F16" s="1">
        <f>ROUNDUP(Motor_4P_IE4_T[[#This Row],[Rated FL Amp (415V)(3Ph)]]*((SQRT(3)*$E$1)/$F$1),1)</f>
        <v>113.89999999999999</v>
      </c>
      <c r="G16" s="1">
        <v>94.5</v>
      </c>
      <c r="H16" s="1" t="s">
        <v>20</v>
      </c>
      <c r="I16" s="1">
        <v>0.85</v>
      </c>
      <c r="J16" s="1" t="s">
        <v>20</v>
      </c>
      <c r="K16" s="1">
        <v>210</v>
      </c>
      <c r="L16" s="1" t="s">
        <v>249</v>
      </c>
      <c r="O16">
        <v>41.5</v>
      </c>
      <c r="Q16" s="3">
        <f t="shared" si="2"/>
        <v>38</v>
      </c>
    </row>
    <row r="17" spans="2:17" x14ac:dyDescent="0.3">
      <c r="B17" s="1">
        <v>40</v>
      </c>
      <c r="C17" s="1" t="s">
        <v>308</v>
      </c>
      <c r="D17" s="1">
        <v>1475</v>
      </c>
      <c r="E17" s="1">
        <v>51.7</v>
      </c>
      <c r="F17" s="1">
        <f>ROUNDUP(Motor_4P_IE4_T[[#This Row],[Rated FL Amp (415V)(3Ph)]]*((SQRT(3)*$E$1)/$F$1),1)</f>
        <v>154.9</v>
      </c>
      <c r="G17" s="1">
        <v>94.9</v>
      </c>
      <c r="H17" s="1" t="s">
        <v>20</v>
      </c>
      <c r="I17" s="1">
        <v>0.85</v>
      </c>
      <c r="J17" s="1" t="s">
        <v>20</v>
      </c>
      <c r="K17" s="1">
        <v>285</v>
      </c>
      <c r="L17" s="1" t="s">
        <v>250</v>
      </c>
      <c r="O17">
        <v>56.4</v>
      </c>
      <c r="Q17" s="3">
        <f t="shared" si="2"/>
        <v>51.7</v>
      </c>
    </row>
    <row r="18" spans="2:17" x14ac:dyDescent="0.3">
      <c r="B18" s="1">
        <v>50</v>
      </c>
      <c r="C18" s="1" t="s">
        <v>309</v>
      </c>
      <c r="D18" s="1">
        <v>1480</v>
      </c>
      <c r="E18" s="1">
        <v>63.6</v>
      </c>
      <c r="F18" s="1">
        <f>ROUNDUP(Motor_4P_IE4_T[[#This Row],[Rated FL Amp (415V)(3Ph)]]*((SQRT(3)*$E$1)/$F$1),1)</f>
        <v>190.5</v>
      </c>
      <c r="G18" s="1">
        <v>95.2</v>
      </c>
      <c r="H18" s="1" t="s">
        <v>20</v>
      </c>
      <c r="I18" s="1">
        <v>0.85</v>
      </c>
      <c r="J18" s="1" t="s">
        <v>20</v>
      </c>
      <c r="K18" s="1">
        <v>350</v>
      </c>
      <c r="L18" s="1" t="s">
        <v>251</v>
      </c>
      <c r="O18">
        <v>69.400000000000006</v>
      </c>
      <c r="Q18" s="3">
        <f t="shared" si="2"/>
        <v>63.6</v>
      </c>
    </row>
    <row r="19" spans="2:17" x14ac:dyDescent="0.3">
      <c r="B19" s="1">
        <v>60</v>
      </c>
      <c r="C19" s="1" t="s">
        <v>310</v>
      </c>
      <c r="D19" s="1">
        <v>1480</v>
      </c>
      <c r="E19" s="1">
        <v>77.099999999999994</v>
      </c>
      <c r="F19" s="1">
        <f>ROUNDUP(Motor_4P_IE4_T[[#This Row],[Rated FL Amp (415V)(3Ph)]]*((SQRT(3)*$E$1)/$F$1),1)</f>
        <v>231</v>
      </c>
      <c r="G19" s="1">
        <v>95.4</v>
      </c>
      <c r="H19" s="1" t="s">
        <v>20</v>
      </c>
      <c r="I19" s="1">
        <v>0.85</v>
      </c>
      <c r="J19" s="1" t="s">
        <v>20</v>
      </c>
      <c r="K19" s="1">
        <v>385</v>
      </c>
      <c r="L19" s="1" t="s">
        <v>252</v>
      </c>
      <c r="O19">
        <v>84.1</v>
      </c>
      <c r="Q19" s="3">
        <f t="shared" si="2"/>
        <v>77.099999999999994</v>
      </c>
    </row>
    <row r="20" spans="2:17" x14ac:dyDescent="0.3">
      <c r="B20" s="1">
        <v>75</v>
      </c>
      <c r="C20" s="1" t="s">
        <v>311</v>
      </c>
      <c r="D20" s="1">
        <v>1480</v>
      </c>
      <c r="E20" s="1">
        <v>92.5</v>
      </c>
      <c r="F20" s="1">
        <f>ROUNDUP(Motor_4P_IE4_T[[#This Row],[Rated FL Amp (415V)(3Ph)]]*((SQRT(3)*$E$1)/$F$1),1)</f>
        <v>277.10000000000002</v>
      </c>
      <c r="G20" s="1">
        <v>95.7</v>
      </c>
      <c r="H20" s="1" t="s">
        <v>20</v>
      </c>
      <c r="I20" s="1">
        <v>0.86</v>
      </c>
      <c r="J20" s="1" t="s">
        <v>20</v>
      </c>
      <c r="K20" s="1">
        <v>510</v>
      </c>
      <c r="L20" s="1" t="s">
        <v>253</v>
      </c>
      <c r="O20">
        <v>101</v>
      </c>
      <c r="Q20" s="3">
        <f t="shared" si="2"/>
        <v>92.5</v>
      </c>
    </row>
    <row r="21" spans="2:17" x14ac:dyDescent="0.3">
      <c r="B21" s="1">
        <v>100</v>
      </c>
      <c r="C21" s="1" t="s">
        <v>312</v>
      </c>
      <c r="D21" s="1">
        <v>1485</v>
      </c>
      <c r="E21" s="1">
        <v>125</v>
      </c>
      <c r="F21" s="1">
        <f>ROUNDUP(Motor_4P_IE4_T[[#This Row],[Rated FL Amp (415V)(3Ph)]]*((SQRT(3)*$E$1)/$F$1),1)</f>
        <v>374.40000000000003</v>
      </c>
      <c r="G21" s="1">
        <v>96</v>
      </c>
      <c r="H21" s="1" t="s">
        <v>20</v>
      </c>
      <c r="I21" s="1">
        <v>0.87</v>
      </c>
      <c r="J21" s="1" t="s">
        <v>20</v>
      </c>
      <c r="K21" s="1">
        <v>631</v>
      </c>
      <c r="L21" s="1" t="s">
        <v>254</v>
      </c>
      <c r="O21">
        <v>136</v>
      </c>
      <c r="Q21" s="4">
        <f>ROUNDUP((O21*$O$2/$Q$2),0)</f>
        <v>125</v>
      </c>
    </row>
    <row r="22" spans="2:17" x14ac:dyDescent="0.3">
      <c r="B22" s="1">
        <v>125</v>
      </c>
      <c r="C22" s="1" t="s">
        <v>313</v>
      </c>
      <c r="D22" s="1">
        <v>1485</v>
      </c>
      <c r="E22" s="1">
        <v>149</v>
      </c>
      <c r="F22" s="1">
        <f>ROUNDUP(Motor_4P_IE4_T[[#This Row],[Rated FL Amp (415V)(3Ph)]]*((SQRT(3)*$E$1)/$F$1),1)</f>
        <v>446.3</v>
      </c>
      <c r="G22" s="1">
        <v>96.1</v>
      </c>
      <c r="H22" s="1" t="s">
        <v>20</v>
      </c>
      <c r="I22" s="1">
        <v>0.88</v>
      </c>
      <c r="J22" s="1" t="s">
        <v>20</v>
      </c>
      <c r="K22" s="1">
        <v>716</v>
      </c>
      <c r="L22" s="1" t="s">
        <v>255</v>
      </c>
      <c r="O22">
        <v>162</v>
      </c>
      <c r="Q22" s="4">
        <f t="shared" ref="Q22:Q33" si="3">ROUNDUP((O22*$O$2/$Q$2),0)</f>
        <v>149</v>
      </c>
    </row>
    <row r="23" spans="2:17" x14ac:dyDescent="0.3">
      <c r="B23" s="1">
        <v>150</v>
      </c>
      <c r="C23" s="1" t="s">
        <v>314</v>
      </c>
      <c r="D23" s="1">
        <v>1490</v>
      </c>
      <c r="E23" s="1">
        <v>179</v>
      </c>
      <c r="F23" s="1">
        <f>ROUNDUP(Motor_4P_IE4_T[[#This Row],[Rated FL Amp (415V)(3Ph)]]*((SQRT(3)*$E$1)/$F$1),1)</f>
        <v>536.20000000000005</v>
      </c>
      <c r="G23" s="1">
        <v>96.3</v>
      </c>
      <c r="H23" s="1" t="s">
        <v>20</v>
      </c>
      <c r="I23" s="1">
        <v>0.89</v>
      </c>
      <c r="J23" s="1" t="s">
        <v>20</v>
      </c>
      <c r="K23" s="1">
        <v>1010</v>
      </c>
      <c r="L23" s="1" t="s">
        <v>256</v>
      </c>
      <c r="O23">
        <v>195</v>
      </c>
      <c r="Q23" s="4">
        <f t="shared" si="3"/>
        <v>179</v>
      </c>
    </row>
    <row r="24" spans="2:17" x14ac:dyDescent="0.3">
      <c r="B24" s="1">
        <v>175</v>
      </c>
      <c r="C24" s="1" t="s">
        <v>315</v>
      </c>
      <c r="D24" s="1">
        <v>1490</v>
      </c>
      <c r="E24" s="1">
        <v>215</v>
      </c>
      <c r="F24" s="1">
        <f>ROUNDUP(Motor_4P_IE4_T[[#This Row],[Rated FL Amp (415V)(3Ph)]]*((SQRT(3)*$E$1)/$F$1),1)</f>
        <v>644</v>
      </c>
      <c r="G24" s="1">
        <v>96.4</v>
      </c>
      <c r="H24" s="1" t="s">
        <v>20</v>
      </c>
      <c r="I24" s="1">
        <v>0.89</v>
      </c>
      <c r="J24" s="1" t="s">
        <v>20</v>
      </c>
      <c r="K24" s="1">
        <v>1080</v>
      </c>
      <c r="L24" s="1" t="s">
        <v>257</v>
      </c>
      <c r="O24">
        <v>234</v>
      </c>
      <c r="Q24" s="4">
        <f t="shared" si="3"/>
        <v>215</v>
      </c>
    </row>
    <row r="25" spans="2:17" x14ac:dyDescent="0.3">
      <c r="B25" s="1">
        <v>215</v>
      </c>
      <c r="C25" s="1" t="s">
        <v>316</v>
      </c>
      <c r="D25" s="1">
        <v>1490</v>
      </c>
      <c r="E25" s="1">
        <v>257</v>
      </c>
      <c r="F25" s="1">
        <f>ROUNDUP(Motor_4P_IE4_T[[#This Row],[Rated FL Amp (415V)(3Ph)]]*((SQRT(3)*$E$1)/$F$1),1)</f>
        <v>769.80000000000007</v>
      </c>
      <c r="G25" s="1">
        <v>96.6</v>
      </c>
      <c r="H25" s="1" t="s">
        <v>20</v>
      </c>
      <c r="I25" s="1">
        <v>0.9</v>
      </c>
      <c r="J25" s="1" t="s">
        <v>20</v>
      </c>
      <c r="K25" s="1">
        <v>1160</v>
      </c>
      <c r="L25" s="1" t="s">
        <v>258</v>
      </c>
      <c r="O25">
        <v>280</v>
      </c>
      <c r="Q25" s="4">
        <f t="shared" si="3"/>
        <v>257</v>
      </c>
    </row>
    <row r="26" spans="2:17" x14ac:dyDescent="0.3">
      <c r="B26" s="1">
        <v>250</v>
      </c>
      <c r="C26" s="1" t="s">
        <v>317</v>
      </c>
      <c r="D26" s="1">
        <v>1490</v>
      </c>
      <c r="E26" s="1">
        <v>296</v>
      </c>
      <c r="F26" s="1">
        <f>ROUNDUP(Motor_4P_IE4_T[[#This Row],[Rated FL Amp (415V)(3Ph)]]*((SQRT(3)*$E$1)/$F$1),1)</f>
        <v>886.6</v>
      </c>
      <c r="G26" s="1">
        <v>96.7</v>
      </c>
      <c r="H26" s="1" t="s">
        <v>20</v>
      </c>
      <c r="I26" s="1">
        <v>0.9</v>
      </c>
      <c r="J26" s="1" t="s">
        <v>20</v>
      </c>
      <c r="K26" s="1">
        <v>1275</v>
      </c>
      <c r="L26" s="1" t="s">
        <v>258</v>
      </c>
      <c r="O26">
        <v>323</v>
      </c>
      <c r="Q26" s="4">
        <f t="shared" si="3"/>
        <v>296</v>
      </c>
    </row>
    <row r="27" spans="2:17" x14ac:dyDescent="0.3">
      <c r="B27" s="1">
        <v>270</v>
      </c>
      <c r="C27" s="1" t="s">
        <v>318</v>
      </c>
      <c r="D27" s="1">
        <v>1490</v>
      </c>
      <c r="E27" s="1">
        <v>320</v>
      </c>
      <c r="F27" s="1">
        <f>ROUNDUP(Motor_4P_IE4_T[[#This Row],[Rated FL Amp (415V)(3Ph)]]*((SQRT(3)*$E$1)/$F$1),1)</f>
        <v>958.5</v>
      </c>
      <c r="G27" s="1">
        <v>96.7</v>
      </c>
      <c r="H27" s="1" t="s">
        <v>20</v>
      </c>
      <c r="I27" s="1">
        <v>0.9</v>
      </c>
      <c r="J27" s="1" t="s">
        <v>20</v>
      </c>
      <c r="K27" s="1">
        <v>1275</v>
      </c>
      <c r="L27" s="1" t="s">
        <v>258</v>
      </c>
      <c r="O27">
        <v>349</v>
      </c>
      <c r="Q27" s="4">
        <f t="shared" si="3"/>
        <v>320</v>
      </c>
    </row>
    <row r="28" spans="2:17" x14ac:dyDescent="0.3">
      <c r="B28" s="1">
        <v>300</v>
      </c>
      <c r="C28" s="1" t="s">
        <v>319</v>
      </c>
      <c r="D28" s="1">
        <v>1495</v>
      </c>
      <c r="E28" s="1">
        <v>352</v>
      </c>
      <c r="F28" s="1">
        <f>ROUNDUP(Motor_4P_IE4_T[[#This Row],[Rated FL Amp (415V)(3Ph)]]*((SQRT(3)*$E$1)/$F$1),1)</f>
        <v>1054.3</v>
      </c>
      <c r="G28" s="1">
        <v>96.7</v>
      </c>
      <c r="H28" s="1" t="s">
        <v>20</v>
      </c>
      <c r="I28" s="1">
        <v>0.9</v>
      </c>
      <c r="J28" s="1" t="s">
        <v>20</v>
      </c>
      <c r="K28" s="1">
        <v>1850</v>
      </c>
      <c r="L28" s="1" t="s">
        <v>259</v>
      </c>
      <c r="O28">
        <v>384</v>
      </c>
      <c r="Q28" s="4">
        <f t="shared" si="3"/>
        <v>352</v>
      </c>
    </row>
    <row r="29" spans="2:17" x14ac:dyDescent="0.3">
      <c r="B29" s="1">
        <v>335</v>
      </c>
      <c r="C29" s="1" t="s">
        <v>320</v>
      </c>
      <c r="D29" s="1">
        <v>1495</v>
      </c>
      <c r="E29" s="1">
        <v>400</v>
      </c>
      <c r="F29" s="1">
        <f>ROUNDUP(Motor_4P_IE4_T[[#This Row],[Rated FL Amp (415V)(3Ph)]]*((SQRT(3)*$E$1)/$F$1),1)</f>
        <v>1198.0999999999999</v>
      </c>
      <c r="G29" s="1">
        <v>96.7</v>
      </c>
      <c r="H29" s="1" t="s">
        <v>20</v>
      </c>
      <c r="I29" s="1">
        <v>0.9</v>
      </c>
      <c r="J29" s="1" t="s">
        <v>20</v>
      </c>
      <c r="K29" s="1">
        <v>1850</v>
      </c>
      <c r="L29" s="1" t="s">
        <v>259</v>
      </c>
      <c r="O29">
        <v>436</v>
      </c>
      <c r="Q29" s="4">
        <f t="shared" si="3"/>
        <v>400</v>
      </c>
    </row>
    <row r="30" spans="2:17" x14ac:dyDescent="0.3">
      <c r="B30" s="1">
        <v>375</v>
      </c>
      <c r="C30" s="1" t="s">
        <v>321</v>
      </c>
      <c r="D30" s="1">
        <v>1495</v>
      </c>
      <c r="E30" s="1">
        <v>447</v>
      </c>
      <c r="F30" s="1">
        <f>ROUNDUP(Motor_4P_IE4_T[[#This Row],[Rated FL Amp (415V)(3Ph)]]*((SQRT(3)*$E$1)/$F$1),1)</f>
        <v>1338.8</v>
      </c>
      <c r="G30" s="1">
        <v>96.7</v>
      </c>
      <c r="H30" s="1" t="s">
        <v>20</v>
      </c>
      <c r="I30" s="1">
        <v>0.9</v>
      </c>
      <c r="J30" s="1" t="s">
        <v>20</v>
      </c>
      <c r="K30" s="1">
        <v>2040</v>
      </c>
      <c r="L30" s="1" t="s">
        <v>260</v>
      </c>
      <c r="O30">
        <v>488</v>
      </c>
      <c r="Q30" s="4">
        <f t="shared" si="3"/>
        <v>447</v>
      </c>
    </row>
    <row r="31" spans="2:17" x14ac:dyDescent="0.3">
      <c r="B31" s="1">
        <v>420</v>
      </c>
      <c r="C31" s="1" t="s">
        <v>322</v>
      </c>
      <c r="D31" s="1">
        <v>1495</v>
      </c>
      <c r="E31" s="1">
        <v>503</v>
      </c>
      <c r="F31" s="1">
        <f>ROUNDUP(Motor_4P_IE4_T[[#This Row],[Rated FL Amp (415V)(3Ph)]]*((SQRT(3)*$E$1)/$F$1),1)</f>
        <v>1506.5</v>
      </c>
      <c r="G31" s="1">
        <v>96.7</v>
      </c>
      <c r="H31" s="1" t="s">
        <v>20</v>
      </c>
      <c r="I31" s="1">
        <v>0.9</v>
      </c>
      <c r="J31" s="1" t="s">
        <v>20</v>
      </c>
      <c r="K31" s="1">
        <v>2040</v>
      </c>
      <c r="L31" s="1" t="s">
        <v>260</v>
      </c>
      <c r="O31">
        <v>549</v>
      </c>
      <c r="Q31" s="4">
        <f t="shared" si="3"/>
        <v>503</v>
      </c>
    </row>
    <row r="32" spans="2:17" x14ac:dyDescent="0.3">
      <c r="B32" s="1">
        <v>475</v>
      </c>
      <c r="C32" s="1" t="s">
        <v>323</v>
      </c>
      <c r="D32" s="1">
        <v>1495</v>
      </c>
      <c r="E32" s="1">
        <v>567</v>
      </c>
      <c r="F32" s="1">
        <f>ROUNDUP(Motor_4P_IE4_T[[#This Row],[Rated FL Amp (415V)(3Ph)]]*((SQRT(3)*$E$1)/$F$1),1)</f>
        <v>1698.1999999999998</v>
      </c>
      <c r="G32" s="1">
        <v>96.7</v>
      </c>
      <c r="H32" s="1" t="s">
        <v>20</v>
      </c>
      <c r="I32" s="1">
        <v>0.9</v>
      </c>
      <c r="J32" s="1" t="s">
        <v>20</v>
      </c>
      <c r="K32" s="1">
        <v>2100</v>
      </c>
      <c r="L32" s="1" t="s">
        <v>293</v>
      </c>
      <c r="O32">
        <v>619</v>
      </c>
      <c r="Q32" s="4">
        <f t="shared" si="3"/>
        <v>567</v>
      </c>
    </row>
    <row r="33" spans="2:17" x14ac:dyDescent="0.3">
      <c r="B33" s="1">
        <v>500</v>
      </c>
      <c r="C33" s="1" t="s">
        <v>324</v>
      </c>
      <c r="D33" s="1">
        <v>1495</v>
      </c>
      <c r="E33" s="1">
        <v>613</v>
      </c>
      <c r="F33" s="1">
        <f>ROUNDUP(Motor_4P_IE4_T[[#This Row],[Rated FL Amp (415V)(3Ph)]]*((SQRT(3)*$E$1)/$F$1),1)</f>
        <v>1836</v>
      </c>
      <c r="G33" s="1">
        <v>96.7</v>
      </c>
      <c r="H33" s="1" t="s">
        <v>20</v>
      </c>
      <c r="I33" s="1">
        <v>0.88</v>
      </c>
      <c r="J33" s="1" t="s">
        <v>20</v>
      </c>
      <c r="K33" s="1">
        <v>2280</v>
      </c>
      <c r="L33" s="1" t="s">
        <v>293</v>
      </c>
      <c r="O33">
        <v>669</v>
      </c>
      <c r="Q33" s="4">
        <f t="shared" si="3"/>
        <v>613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C598-B9EF-4563-8E10-664CD4ABA745}">
  <dimension ref="B1:Q33"/>
  <sheetViews>
    <sheetView topLeftCell="B1" workbookViewId="0">
      <selection activeCell="K20" sqref="K20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  <col min="17" max="17" width="9.5546875" style="1" bestFit="1" customWidth="1"/>
  </cols>
  <sheetData>
    <row r="1" spans="2:17" x14ac:dyDescent="0.3">
      <c r="E1" s="1">
        <v>415</v>
      </c>
      <c r="F1" s="1">
        <v>240</v>
      </c>
    </row>
    <row r="2" spans="2:17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  <c r="O2">
        <v>380</v>
      </c>
      <c r="Q2" s="1">
        <v>415</v>
      </c>
    </row>
    <row r="3" spans="2:17" x14ac:dyDescent="0.3">
      <c r="B3" s="1">
        <v>1</v>
      </c>
      <c r="C3" s="1" t="s">
        <v>349</v>
      </c>
      <c r="D3" s="1">
        <v>2855</v>
      </c>
      <c r="E3" s="1">
        <v>1.47</v>
      </c>
      <c r="F3" s="1">
        <f>ROUNDUP(Motor_2P_IE5_T[[#This Row],[Rated FL Amp (415V)(3Ph)]]*((SQRT(3)*$E$1)/$F$1),1)</f>
        <v>4.5</v>
      </c>
      <c r="G3" s="1">
        <v>86.3</v>
      </c>
      <c r="H3" s="1" t="s">
        <v>20</v>
      </c>
      <c r="I3" s="1">
        <v>0.83</v>
      </c>
      <c r="J3" s="1" t="s">
        <v>20</v>
      </c>
      <c r="K3" s="1">
        <v>43</v>
      </c>
      <c r="L3" s="1" t="s">
        <v>192</v>
      </c>
    </row>
    <row r="4" spans="2:17" x14ac:dyDescent="0.3">
      <c r="B4" s="1">
        <v>1.5</v>
      </c>
      <c r="C4" s="1" t="s">
        <v>350</v>
      </c>
      <c r="D4" s="1">
        <v>2857</v>
      </c>
      <c r="E4" s="1">
        <v>2.11</v>
      </c>
      <c r="F4" s="1">
        <f>ROUNDUP(Motor_2P_IE5_T[[#This Row],[Rated FL Amp (415V)(3Ph)]]*((SQRT(3)*$E$1)/$F$1),1)</f>
        <v>6.3999999999999995</v>
      </c>
      <c r="G4" s="1">
        <v>87.8</v>
      </c>
      <c r="H4" s="1" t="s">
        <v>20</v>
      </c>
      <c r="I4" s="1">
        <v>0.83</v>
      </c>
      <c r="J4" s="1" t="s">
        <v>20</v>
      </c>
      <c r="K4" s="1">
        <v>46</v>
      </c>
      <c r="L4" s="1" t="s">
        <v>192</v>
      </c>
    </row>
    <row r="5" spans="2:17" x14ac:dyDescent="0.3">
      <c r="B5" s="1">
        <v>2</v>
      </c>
      <c r="C5" s="1" t="s">
        <v>351</v>
      </c>
      <c r="D5" s="1">
        <v>2871</v>
      </c>
      <c r="E5" s="1">
        <v>2.75</v>
      </c>
      <c r="F5" s="1">
        <f>ROUNDUP(Motor_2P_IE5_T[[#This Row],[Rated FL Amp (415V)(3Ph)]]*((SQRT(3)*$E$1)/$F$1),1)</f>
        <v>8.2999999999999989</v>
      </c>
      <c r="G5" s="1">
        <v>88.9</v>
      </c>
      <c r="H5" s="1" t="s">
        <v>20</v>
      </c>
      <c r="I5" s="1">
        <v>0.85</v>
      </c>
      <c r="J5" s="1" t="s">
        <v>20</v>
      </c>
      <c r="K5" s="1">
        <v>50</v>
      </c>
      <c r="L5" s="1" t="s">
        <v>193</v>
      </c>
      <c r="O5">
        <v>1.6</v>
      </c>
      <c r="Q5" s="6">
        <f>ROUNDUP((O5*$O$2/$Q$2),2)</f>
        <v>1.47</v>
      </c>
    </row>
    <row r="6" spans="2:17" x14ac:dyDescent="0.3">
      <c r="B6" s="1">
        <v>3</v>
      </c>
      <c r="C6" s="1" t="s">
        <v>352</v>
      </c>
      <c r="D6" s="1">
        <v>2873</v>
      </c>
      <c r="E6" s="1">
        <v>3.94</v>
      </c>
      <c r="F6" s="1">
        <f>ROUNDUP(Motor_2P_IE5_T[[#This Row],[Rated FL Amp (415V)(3Ph)]]*((SQRT(3)*$E$1)/$F$1),1)</f>
        <v>11.9</v>
      </c>
      <c r="G6" s="1">
        <v>90.2</v>
      </c>
      <c r="H6" s="1" t="s">
        <v>20</v>
      </c>
      <c r="I6" s="1">
        <v>0.86</v>
      </c>
      <c r="J6" s="1" t="s">
        <v>20</v>
      </c>
      <c r="K6" s="1">
        <v>60</v>
      </c>
      <c r="L6" s="1" t="s">
        <v>194</v>
      </c>
      <c r="O6">
        <v>2.2999999999999998</v>
      </c>
      <c r="Q6" s="6">
        <f t="shared" ref="Q6:Q10" si="0">ROUNDUP((O6*$O$2/$Q$2),2)</f>
        <v>2.11</v>
      </c>
    </row>
    <row r="7" spans="2:17" x14ac:dyDescent="0.3">
      <c r="B7" s="1">
        <v>4</v>
      </c>
      <c r="C7" s="1" t="s">
        <v>353</v>
      </c>
      <c r="D7" s="1">
        <v>2903</v>
      </c>
      <c r="E7" s="1">
        <v>5.3199999999999994</v>
      </c>
      <c r="F7" s="1">
        <f>ROUNDUP(Motor_2P_IE5_T[[#This Row],[Rated FL Amp (415V)(3Ph)]]*((SQRT(3)*$E$1)/$F$1),1)</f>
        <v>16</v>
      </c>
      <c r="G7" s="1">
        <v>91.1</v>
      </c>
      <c r="H7" s="1" t="s">
        <v>20</v>
      </c>
      <c r="I7" s="1">
        <v>0.87</v>
      </c>
      <c r="J7" s="1" t="s">
        <v>20</v>
      </c>
      <c r="K7" s="1">
        <v>68</v>
      </c>
      <c r="L7" s="1" t="s">
        <v>195</v>
      </c>
      <c r="O7">
        <v>3</v>
      </c>
      <c r="Q7" s="6">
        <f t="shared" si="0"/>
        <v>2.75</v>
      </c>
    </row>
    <row r="8" spans="2:17" x14ac:dyDescent="0.3">
      <c r="B8" s="1">
        <v>5.5</v>
      </c>
      <c r="C8" s="1" t="s">
        <v>354</v>
      </c>
      <c r="D8" s="1">
        <v>2919</v>
      </c>
      <c r="E8" s="1">
        <v>6.87</v>
      </c>
      <c r="F8" s="1">
        <f>ROUNDUP(Motor_2P_IE5_T[[#This Row],[Rated FL Amp (415V)(3Ph)]]*((SQRT(3)*$E$1)/$F$1),1)</f>
        <v>20.6</v>
      </c>
      <c r="G8" s="1">
        <v>91.8</v>
      </c>
      <c r="H8" s="1" t="s">
        <v>20</v>
      </c>
      <c r="I8" s="1">
        <v>0.88</v>
      </c>
      <c r="J8" s="1" t="s">
        <v>20</v>
      </c>
      <c r="K8" s="1">
        <v>89</v>
      </c>
      <c r="L8" s="1" t="s">
        <v>196</v>
      </c>
      <c r="O8">
        <v>4.3</v>
      </c>
      <c r="Q8" s="6">
        <f t="shared" si="0"/>
        <v>3.94</v>
      </c>
    </row>
    <row r="9" spans="2:17" x14ac:dyDescent="0.3">
      <c r="B9" s="1">
        <v>7.5</v>
      </c>
      <c r="C9" s="1" t="s">
        <v>355</v>
      </c>
      <c r="D9" s="1">
        <v>2927</v>
      </c>
      <c r="E9" s="1">
        <v>9.44</v>
      </c>
      <c r="F9" s="1">
        <f>ROUNDUP(Motor_2P_IE5_T[[#This Row],[Rated FL Amp (415V)(3Ph)]]*((SQRT(3)*$E$1)/$F$1),1)</f>
        <v>28.3</v>
      </c>
      <c r="G9" s="1">
        <v>92.6</v>
      </c>
      <c r="H9" s="1" t="s">
        <v>20</v>
      </c>
      <c r="I9" s="1">
        <v>0.88</v>
      </c>
      <c r="J9" s="1" t="s">
        <v>20</v>
      </c>
      <c r="K9" s="1">
        <v>118</v>
      </c>
      <c r="L9" s="1" t="s">
        <v>197</v>
      </c>
      <c r="O9">
        <v>5.8</v>
      </c>
      <c r="Q9" s="6">
        <f t="shared" si="0"/>
        <v>5.3199999999999994</v>
      </c>
    </row>
    <row r="10" spans="2:17" x14ac:dyDescent="0.3">
      <c r="B10" s="1">
        <v>10</v>
      </c>
      <c r="C10" s="1" t="s">
        <v>356</v>
      </c>
      <c r="D10" s="1">
        <v>2930</v>
      </c>
      <c r="E10" s="1">
        <v>12.6</v>
      </c>
      <c r="F10" s="1">
        <f>ROUNDUP(Motor_2P_IE5_T[[#This Row],[Rated FL Amp (415V)(3Ph)]]*((SQRT(3)*$E$1)/$F$1),1)</f>
        <v>37.800000000000004</v>
      </c>
      <c r="G10" s="1">
        <v>93.3</v>
      </c>
      <c r="H10" s="1" t="s">
        <v>20</v>
      </c>
      <c r="I10" s="1">
        <v>0.89</v>
      </c>
      <c r="J10" s="1" t="s">
        <v>20</v>
      </c>
      <c r="K10" s="1">
        <v>125</v>
      </c>
      <c r="L10" s="1" t="s">
        <v>197</v>
      </c>
      <c r="O10">
        <v>7.5</v>
      </c>
      <c r="Q10" s="6">
        <f t="shared" si="0"/>
        <v>6.87</v>
      </c>
    </row>
    <row r="11" spans="2:17" x14ac:dyDescent="0.3">
      <c r="B11" s="1">
        <v>15</v>
      </c>
      <c r="C11" s="1" t="s">
        <v>357</v>
      </c>
      <c r="D11" s="1">
        <v>2950</v>
      </c>
      <c r="E11" s="1">
        <v>18.400000000000002</v>
      </c>
      <c r="F11" s="1">
        <f>ROUNDUP(Motor_2P_IE5_T[[#This Row],[Rated FL Amp (415V)(3Ph)]]*((SQRT(3)*$E$1)/$F$1),1)</f>
        <v>55.2</v>
      </c>
      <c r="G11" s="1">
        <v>94</v>
      </c>
      <c r="H11" s="1" t="s">
        <v>20</v>
      </c>
      <c r="I11" s="1">
        <v>0.89</v>
      </c>
      <c r="J11" s="1" t="s">
        <v>20</v>
      </c>
      <c r="K11" s="1">
        <v>200</v>
      </c>
      <c r="L11" s="1" t="s">
        <v>198</v>
      </c>
      <c r="O11">
        <v>10.3</v>
      </c>
      <c r="Q11" s="6">
        <f>ROUNDUP((O11*$O$2/$Q$2),2)</f>
        <v>9.44</v>
      </c>
    </row>
    <row r="12" spans="2:17" x14ac:dyDescent="0.3">
      <c r="B12" s="1">
        <v>20</v>
      </c>
      <c r="C12" s="1" t="s">
        <v>358</v>
      </c>
      <c r="D12" s="1">
        <v>2959</v>
      </c>
      <c r="E12" s="1">
        <v>24.900000000000002</v>
      </c>
      <c r="F12" s="1">
        <f>ROUNDUP(Motor_2P_IE5_T[[#This Row],[Rated FL Amp (415V)(3Ph)]]*((SQRT(3)*$E$1)/$F$1),1)</f>
        <v>74.599999999999994</v>
      </c>
      <c r="G12" s="1">
        <v>94.5</v>
      </c>
      <c r="H12" s="1" t="s">
        <v>20</v>
      </c>
      <c r="I12" s="1">
        <v>0.89</v>
      </c>
      <c r="J12" s="1" t="s">
        <v>20</v>
      </c>
      <c r="K12" s="1">
        <v>223</v>
      </c>
      <c r="L12" s="1" t="s">
        <v>198</v>
      </c>
      <c r="O12">
        <v>13.7</v>
      </c>
      <c r="Q12" s="7">
        <f>ROUNDUP((O12*$O$2/$Q$2),1)</f>
        <v>12.6</v>
      </c>
    </row>
    <row r="13" spans="2:17" x14ac:dyDescent="0.3">
      <c r="B13" s="1">
        <v>25</v>
      </c>
      <c r="C13" s="1" t="s">
        <v>359</v>
      </c>
      <c r="D13" s="1">
        <v>2960</v>
      </c>
      <c r="E13" s="1">
        <v>30.5</v>
      </c>
      <c r="F13" s="1">
        <f>ROUNDUP(Motor_2P_IE5_T[[#This Row],[Rated FL Amp (415V)(3Ph)]]*((SQRT(3)*$E$1)/$F$1),1)</f>
        <v>91.399999999999991</v>
      </c>
      <c r="G13" s="1">
        <v>94.9</v>
      </c>
      <c r="H13" s="1" t="s">
        <v>20</v>
      </c>
      <c r="I13" s="1">
        <v>0.89</v>
      </c>
      <c r="J13" s="1" t="s">
        <v>20</v>
      </c>
      <c r="K13" s="1">
        <v>225</v>
      </c>
      <c r="L13" s="1" t="s">
        <v>199</v>
      </c>
      <c r="O13">
        <v>20</v>
      </c>
      <c r="Q13" s="7">
        <f t="shared" ref="Q13:Q20" si="1">ROUNDUP((O13*$O$2/$Q$2),1)</f>
        <v>18.400000000000002</v>
      </c>
    </row>
    <row r="14" spans="2:17" x14ac:dyDescent="0.3">
      <c r="B14" s="1">
        <v>30</v>
      </c>
      <c r="C14" s="1" t="s">
        <v>360</v>
      </c>
      <c r="D14" s="1">
        <v>2965</v>
      </c>
      <c r="E14" s="1">
        <v>36.200000000000003</v>
      </c>
      <c r="F14" s="1">
        <f>ROUNDUP(Motor_2P_IE5_T[[#This Row],[Rated FL Amp (415V)(3Ph)]]*((SQRT(3)*$E$1)/$F$1),1)</f>
        <v>108.5</v>
      </c>
      <c r="G14" s="1">
        <v>95.1</v>
      </c>
      <c r="H14" s="1" t="s">
        <v>20</v>
      </c>
      <c r="I14" s="1">
        <v>0.89</v>
      </c>
      <c r="J14" s="1" t="s">
        <v>20</v>
      </c>
      <c r="K14" s="1">
        <v>230</v>
      </c>
      <c r="L14" s="1" t="s">
        <v>200</v>
      </c>
      <c r="O14">
        <v>27.1</v>
      </c>
      <c r="Q14" s="7">
        <f t="shared" si="1"/>
        <v>24.900000000000002</v>
      </c>
    </row>
    <row r="15" spans="2:17" x14ac:dyDescent="0.3">
      <c r="B15" s="1">
        <v>40</v>
      </c>
      <c r="C15" s="1" t="s">
        <v>361</v>
      </c>
      <c r="D15" s="1">
        <v>2974</v>
      </c>
      <c r="E15" s="1">
        <v>49.1</v>
      </c>
      <c r="F15" s="1">
        <f>ROUNDUP(Motor_2P_IE5_T[[#This Row],[Rated FL Amp (415V)(3Ph)]]*((SQRT(3)*$E$1)/$F$1),1)</f>
        <v>147.1</v>
      </c>
      <c r="G15" s="1">
        <v>95.5</v>
      </c>
      <c r="H15" s="1" t="s">
        <v>20</v>
      </c>
      <c r="I15" s="1">
        <v>0.89</v>
      </c>
      <c r="J15" s="1" t="s">
        <v>20</v>
      </c>
      <c r="K15" s="1">
        <v>375</v>
      </c>
      <c r="L15" s="1" t="s">
        <v>201</v>
      </c>
      <c r="O15">
        <v>33.299999999999997</v>
      </c>
      <c r="Q15" s="7">
        <f t="shared" si="1"/>
        <v>30.5</v>
      </c>
    </row>
    <row r="16" spans="2:17" x14ac:dyDescent="0.3">
      <c r="B16" s="1">
        <v>50</v>
      </c>
      <c r="C16" s="1" t="s">
        <v>362</v>
      </c>
      <c r="D16" s="1">
        <v>2974</v>
      </c>
      <c r="E16" s="1">
        <v>60.4</v>
      </c>
      <c r="F16" s="1">
        <f>ROUNDUP(Motor_2P_IE5_T[[#This Row],[Rated FL Amp (415V)(3Ph)]]*((SQRT(3)*$E$1)/$F$1),1)</f>
        <v>180.9</v>
      </c>
      <c r="G16" s="1">
        <v>95.8</v>
      </c>
      <c r="H16" s="1" t="s">
        <v>20</v>
      </c>
      <c r="I16" s="1">
        <v>0.89</v>
      </c>
      <c r="J16" s="1" t="s">
        <v>20</v>
      </c>
      <c r="K16" s="1">
        <v>385</v>
      </c>
      <c r="L16" s="1" t="s">
        <v>201</v>
      </c>
      <c r="O16">
        <v>39.5</v>
      </c>
      <c r="Q16" s="7">
        <f t="shared" si="1"/>
        <v>36.200000000000003</v>
      </c>
    </row>
    <row r="17" spans="2:17" x14ac:dyDescent="0.3">
      <c r="B17" s="1">
        <v>60</v>
      </c>
      <c r="C17" s="1" t="s">
        <v>363</v>
      </c>
      <c r="D17" s="1">
        <v>2979</v>
      </c>
      <c r="E17" s="1">
        <v>73.3</v>
      </c>
      <c r="F17" s="1">
        <f>ROUNDUP(Motor_2P_IE5_T[[#This Row],[Rated FL Amp (415V)(3Ph)]]*((SQRT(3)*$E$1)/$F$1),1)</f>
        <v>219.6</v>
      </c>
      <c r="G17" s="1">
        <v>96</v>
      </c>
      <c r="H17" s="1" t="s">
        <v>20</v>
      </c>
      <c r="I17" s="1">
        <v>0.89</v>
      </c>
      <c r="J17" s="1" t="s">
        <v>20</v>
      </c>
      <c r="K17" s="1">
        <v>510</v>
      </c>
      <c r="L17" s="1" t="s">
        <v>202</v>
      </c>
      <c r="O17">
        <v>53.6</v>
      </c>
      <c r="Q17" s="7">
        <f t="shared" si="1"/>
        <v>49.1</v>
      </c>
    </row>
    <row r="18" spans="2:17" x14ac:dyDescent="0.3">
      <c r="B18" s="1">
        <v>75</v>
      </c>
      <c r="C18" s="1" t="s">
        <v>364</v>
      </c>
      <c r="D18" s="1">
        <v>2979</v>
      </c>
      <c r="E18" s="1">
        <v>89.399999999999991</v>
      </c>
      <c r="F18" s="1">
        <f>ROUNDUP(Motor_2P_IE5_T[[#This Row],[Rated FL Amp (415V)(3Ph)]]*((SQRT(3)*$E$1)/$F$1),1)</f>
        <v>267.8</v>
      </c>
      <c r="G18" s="1">
        <v>96.2</v>
      </c>
      <c r="H18" s="1" t="s">
        <v>20</v>
      </c>
      <c r="I18" s="1">
        <v>0.89</v>
      </c>
      <c r="J18" s="1" t="s">
        <v>20</v>
      </c>
      <c r="K18" s="1">
        <v>650</v>
      </c>
      <c r="L18" s="1" t="s">
        <v>203</v>
      </c>
      <c r="O18">
        <v>65.900000000000006</v>
      </c>
      <c r="Q18" s="7">
        <f t="shared" si="1"/>
        <v>60.4</v>
      </c>
    </row>
    <row r="19" spans="2:17" x14ac:dyDescent="0.3">
      <c r="B19" s="1">
        <v>100</v>
      </c>
      <c r="C19" s="1" t="s">
        <v>365</v>
      </c>
      <c r="D19" s="1">
        <v>2982</v>
      </c>
      <c r="E19" s="1">
        <v>122</v>
      </c>
      <c r="F19" s="1">
        <f>ROUNDUP(Motor_2P_IE5_T[[#This Row],[Rated FL Amp (415V)(3Ph)]]*((SQRT(3)*$E$1)/$F$1),1)</f>
        <v>365.40000000000003</v>
      </c>
      <c r="G19" s="1">
        <v>96.5</v>
      </c>
      <c r="H19" s="1" t="s">
        <v>20</v>
      </c>
      <c r="I19" s="1">
        <v>0.89</v>
      </c>
      <c r="J19" s="1" t="s">
        <v>20</v>
      </c>
      <c r="K19" s="1">
        <v>968</v>
      </c>
      <c r="L19" s="1" t="s">
        <v>204</v>
      </c>
      <c r="O19">
        <v>80</v>
      </c>
      <c r="Q19" s="7">
        <f t="shared" si="1"/>
        <v>73.3</v>
      </c>
    </row>
    <row r="20" spans="2:17" x14ac:dyDescent="0.3">
      <c r="B20" s="1">
        <v>125</v>
      </c>
      <c r="C20" s="1" t="s">
        <v>366</v>
      </c>
      <c r="D20" s="1">
        <v>2983</v>
      </c>
      <c r="E20" s="1">
        <v>146</v>
      </c>
      <c r="F20" s="1">
        <f>ROUNDUP(Motor_2P_IE5_T[[#This Row],[Rated FL Amp (415V)(3Ph)]]*((SQRT(3)*$E$1)/$F$1),1)</f>
        <v>437.3</v>
      </c>
      <c r="G20" s="1">
        <v>96.6</v>
      </c>
      <c r="H20" s="1" t="s">
        <v>20</v>
      </c>
      <c r="I20" s="1">
        <v>0.89</v>
      </c>
      <c r="J20" s="1" t="s">
        <v>20</v>
      </c>
      <c r="K20" s="1">
        <v>1003</v>
      </c>
      <c r="L20" s="1" t="s">
        <v>205</v>
      </c>
      <c r="O20">
        <v>97.6</v>
      </c>
      <c r="Q20" s="7">
        <f t="shared" si="1"/>
        <v>89.399999999999991</v>
      </c>
    </row>
    <row r="21" spans="2:17" x14ac:dyDescent="0.3">
      <c r="B21" s="1">
        <v>150</v>
      </c>
      <c r="C21" s="1" t="s">
        <v>367</v>
      </c>
      <c r="D21" s="1">
        <v>2987</v>
      </c>
      <c r="E21" s="1">
        <v>178</v>
      </c>
      <c r="F21" s="1">
        <f>ROUNDUP(Motor_2P_IE5_T[[#This Row],[Rated FL Amp (415V)(3Ph)]]*((SQRT(3)*$E$1)/$F$1),1)</f>
        <v>533.20000000000005</v>
      </c>
      <c r="G21" s="1">
        <v>96.8</v>
      </c>
      <c r="H21" s="1" t="s">
        <v>20</v>
      </c>
      <c r="I21" s="1">
        <v>0.89</v>
      </c>
      <c r="J21" s="1" t="s">
        <v>20</v>
      </c>
      <c r="K21" s="1">
        <v>1031</v>
      </c>
      <c r="L21" s="1" t="s">
        <v>206</v>
      </c>
      <c r="O21">
        <v>132.69999999999999</v>
      </c>
      <c r="Q21" s="8">
        <f>ROUNDUP((O21*$O$2/$Q$2),0)</f>
        <v>122</v>
      </c>
    </row>
    <row r="22" spans="2:17" x14ac:dyDescent="0.3">
      <c r="B22" s="1">
        <v>175</v>
      </c>
      <c r="C22" s="1" t="s">
        <v>368</v>
      </c>
      <c r="D22" s="1">
        <v>2989</v>
      </c>
      <c r="E22" s="1">
        <v>213</v>
      </c>
      <c r="F22" s="1">
        <f>ROUNDUP(Motor_2P_IE5_T[[#This Row],[Rated FL Amp (415V)(3Ph)]]*((SQRT(3)*$E$1)/$F$1),1)</f>
        <v>638</v>
      </c>
      <c r="G22" s="1">
        <v>96.9</v>
      </c>
      <c r="H22" s="1" t="s">
        <v>20</v>
      </c>
      <c r="I22" s="1">
        <v>0.89</v>
      </c>
      <c r="J22" s="1" t="s">
        <v>20</v>
      </c>
      <c r="K22" s="1">
        <v>1071</v>
      </c>
      <c r="L22" s="1" t="s">
        <v>207</v>
      </c>
      <c r="O22">
        <v>159.1</v>
      </c>
      <c r="Q22" s="8">
        <f t="shared" ref="Q22:Q33" si="2">ROUNDUP((O22*$O$2/$Q$2),0)</f>
        <v>146</v>
      </c>
    </row>
    <row r="23" spans="2:17" x14ac:dyDescent="0.3">
      <c r="B23" s="1">
        <v>215</v>
      </c>
      <c r="C23" s="1" t="s">
        <v>369</v>
      </c>
      <c r="D23" s="1">
        <v>2992</v>
      </c>
      <c r="E23" s="1">
        <v>258</v>
      </c>
      <c r="F23" s="1">
        <f>ROUNDUP(Motor_2P_IE5_T[[#This Row],[Rated FL Amp (415V)(3Ph)]]*((SQRT(3)*$E$1)/$F$1),1)</f>
        <v>772.80000000000007</v>
      </c>
      <c r="G23" s="1">
        <v>97</v>
      </c>
      <c r="H23" s="1" t="s">
        <v>20</v>
      </c>
      <c r="I23" s="1">
        <v>0.89</v>
      </c>
      <c r="J23" s="1" t="s">
        <v>20</v>
      </c>
      <c r="K23" s="1">
        <v>1170</v>
      </c>
      <c r="L23" s="1" t="s">
        <v>208</v>
      </c>
      <c r="O23">
        <v>194</v>
      </c>
      <c r="Q23" s="8">
        <f t="shared" si="2"/>
        <v>178</v>
      </c>
    </row>
    <row r="24" spans="2:17" x14ac:dyDescent="0.3">
      <c r="B24" s="1">
        <v>270</v>
      </c>
      <c r="C24" s="1" t="s">
        <v>370</v>
      </c>
      <c r="D24" s="1">
        <v>2993</v>
      </c>
      <c r="E24" s="1">
        <v>322</v>
      </c>
      <c r="F24" s="1">
        <f>ROUNDUP(Motor_2P_IE5_T[[#This Row],[Rated FL Amp (415V)(3Ph)]]*((SQRT(3)*$E$1)/$F$1),1)</f>
        <v>964.4</v>
      </c>
      <c r="G24" s="1">
        <v>97.5</v>
      </c>
      <c r="H24" s="1" t="s">
        <v>20</v>
      </c>
      <c r="I24" s="1">
        <v>0.89</v>
      </c>
      <c r="J24" s="1" t="s">
        <v>20</v>
      </c>
      <c r="K24" s="1">
        <v>1369</v>
      </c>
      <c r="L24" s="1" t="s">
        <v>208</v>
      </c>
      <c r="O24">
        <v>232.6</v>
      </c>
      <c r="Q24" s="8">
        <f t="shared" si="2"/>
        <v>213</v>
      </c>
    </row>
    <row r="25" spans="2:17" x14ac:dyDescent="0.3">
      <c r="B25" s="1">
        <v>300</v>
      </c>
      <c r="C25" s="1" t="s">
        <v>371</v>
      </c>
      <c r="D25" s="1">
        <v>2993</v>
      </c>
      <c r="E25" s="1">
        <v>354</v>
      </c>
      <c r="F25" s="1">
        <f>ROUNDUP(Motor_2P_IE5_T[[#This Row],[Rated FL Amp (415V)(3Ph)]]*((SQRT(3)*$E$1)/$F$1),1)</f>
        <v>1060.3</v>
      </c>
      <c r="G25" s="1">
        <v>97.2</v>
      </c>
      <c r="H25" s="1" t="s">
        <v>20</v>
      </c>
      <c r="I25" s="1">
        <v>0.89</v>
      </c>
      <c r="J25" s="1" t="s">
        <v>20</v>
      </c>
      <c r="K25" s="1">
        <v>1925</v>
      </c>
      <c r="L25" s="1" t="s">
        <v>209</v>
      </c>
      <c r="O25">
        <v>281.60000000000002</v>
      </c>
      <c r="Q25" s="8">
        <f t="shared" si="2"/>
        <v>258</v>
      </c>
    </row>
    <row r="26" spans="2:17" x14ac:dyDescent="0.3">
      <c r="B26" s="1">
        <v>335</v>
      </c>
      <c r="C26" s="1" t="s">
        <v>372</v>
      </c>
      <c r="D26" s="1">
        <v>2993</v>
      </c>
      <c r="E26" s="1">
        <v>394</v>
      </c>
      <c r="F26" s="1">
        <f>ROUNDUP(Motor_2P_IE5_T[[#This Row],[Rated FL Amp (415V)(3Ph)]]*((SQRT(3)*$E$1)/$F$1),1)</f>
        <v>1180.0999999999999</v>
      </c>
      <c r="G26" s="1">
        <v>97.2</v>
      </c>
      <c r="H26" s="1" t="s">
        <v>20</v>
      </c>
      <c r="I26" s="1">
        <v>0.91</v>
      </c>
      <c r="J26" s="1" t="s">
        <v>20</v>
      </c>
      <c r="K26" s="1">
        <v>1925</v>
      </c>
      <c r="L26" s="1" t="s">
        <v>209</v>
      </c>
      <c r="O26">
        <v>351.3</v>
      </c>
      <c r="Q26" s="8">
        <f t="shared" si="2"/>
        <v>322</v>
      </c>
    </row>
    <row r="27" spans="2:17" x14ac:dyDescent="0.3">
      <c r="B27" s="1">
        <v>375</v>
      </c>
      <c r="C27" s="1" t="s">
        <v>373</v>
      </c>
      <c r="D27" s="1">
        <v>2993</v>
      </c>
      <c r="E27" s="1">
        <v>441</v>
      </c>
      <c r="F27" s="1">
        <f>ROUNDUP(Motor_2P_IE5_T[[#This Row],[Rated FL Amp (415V)(3Ph)]]*((SQRT(3)*$E$1)/$F$1),1)</f>
        <v>1320.8</v>
      </c>
      <c r="G27" s="1">
        <v>97.2</v>
      </c>
      <c r="H27" s="1" t="s">
        <v>20</v>
      </c>
      <c r="I27" s="1">
        <v>0.91</v>
      </c>
      <c r="J27" s="1" t="s">
        <v>20</v>
      </c>
      <c r="K27" s="1">
        <v>2125</v>
      </c>
      <c r="L27" s="1" t="s">
        <v>210</v>
      </c>
      <c r="O27">
        <v>386.4</v>
      </c>
      <c r="Q27" s="8">
        <f t="shared" si="2"/>
        <v>354</v>
      </c>
    </row>
    <row r="28" spans="2:17" x14ac:dyDescent="0.3">
      <c r="B28" s="1">
        <v>420</v>
      </c>
      <c r="C28" s="1" t="s">
        <v>374</v>
      </c>
      <c r="D28" s="1">
        <v>2995</v>
      </c>
      <c r="E28" s="1">
        <v>496</v>
      </c>
      <c r="F28" s="1">
        <f>ROUNDUP(Motor_2P_IE5_T[[#This Row],[Rated FL Amp (415V)(3Ph)]]*((SQRT(3)*$E$1)/$F$1),1)</f>
        <v>1485.6</v>
      </c>
      <c r="G28" s="1">
        <v>97.2</v>
      </c>
      <c r="H28" s="1" t="s">
        <v>20</v>
      </c>
      <c r="I28" s="1">
        <v>0.91</v>
      </c>
      <c r="J28" s="1" t="s">
        <v>20</v>
      </c>
      <c r="K28" s="1">
        <v>2140</v>
      </c>
      <c r="L28" s="1" t="s">
        <v>210</v>
      </c>
      <c r="O28">
        <v>429.4</v>
      </c>
      <c r="Q28" s="8">
        <f t="shared" si="2"/>
        <v>394</v>
      </c>
    </row>
    <row r="29" spans="2:17" x14ac:dyDescent="0.3">
      <c r="O29">
        <v>481</v>
      </c>
      <c r="Q29" s="8">
        <f t="shared" si="2"/>
        <v>441</v>
      </c>
    </row>
    <row r="30" spans="2:17" x14ac:dyDescent="0.3">
      <c r="O30">
        <v>541.1</v>
      </c>
      <c r="Q30" s="8">
        <f t="shared" si="2"/>
        <v>496</v>
      </c>
    </row>
    <row r="31" spans="2:17" x14ac:dyDescent="0.3">
      <c r="Q31" s="8">
        <f t="shared" si="2"/>
        <v>0</v>
      </c>
    </row>
    <row r="32" spans="2:17" x14ac:dyDescent="0.3">
      <c r="Q32" s="8">
        <f t="shared" si="2"/>
        <v>0</v>
      </c>
    </row>
    <row r="33" spans="17:17" x14ac:dyDescent="0.3">
      <c r="Q33" s="8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B35D-62EC-44F4-9601-83ED2917C12D}">
  <dimension ref="B1:Q33"/>
  <sheetViews>
    <sheetView topLeftCell="C7" workbookViewId="0">
      <selection activeCell="K25" sqref="K25"/>
    </sheetView>
  </sheetViews>
  <sheetFormatPr defaultRowHeight="14.4" x14ac:dyDescent="0.3"/>
  <cols>
    <col min="2" max="4" width="18.77734375" style="1" customWidth="1"/>
    <col min="5" max="6" width="28.77734375" style="1" customWidth="1"/>
    <col min="7" max="10" width="18.77734375" style="1" customWidth="1"/>
    <col min="17" max="17" width="9.5546875" style="1" bestFit="1" customWidth="1"/>
  </cols>
  <sheetData>
    <row r="1" spans="2:17" x14ac:dyDescent="0.3">
      <c r="E1" s="1">
        <v>415</v>
      </c>
      <c r="F1" s="1">
        <v>240</v>
      </c>
    </row>
    <row r="2" spans="2:17" x14ac:dyDescent="0.3">
      <c r="B2" s="1" t="s">
        <v>54</v>
      </c>
      <c r="C2" s="1" t="s">
        <v>16</v>
      </c>
      <c r="D2" s="1" t="s">
        <v>60</v>
      </c>
      <c r="E2" s="1" t="s">
        <v>110</v>
      </c>
      <c r="F2" s="1" t="s">
        <v>111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187</v>
      </c>
      <c r="L2" s="1" t="s">
        <v>191</v>
      </c>
      <c r="O2">
        <v>380</v>
      </c>
      <c r="Q2" s="1">
        <v>415</v>
      </c>
    </row>
    <row r="3" spans="2:17" x14ac:dyDescent="0.3">
      <c r="B3" s="1">
        <v>0.75</v>
      </c>
      <c r="C3" s="1" t="s">
        <v>401</v>
      </c>
      <c r="D3" s="1">
        <v>1425</v>
      </c>
      <c r="E3" s="1">
        <v>1.2</v>
      </c>
      <c r="F3" s="1">
        <f>ROUNDUP(Motor_4P_IE5_T[[#This Row],[Rated FL Amp (415V)(3Ph)]]*((SQRT(3)*$E$1)/$F$1),1)</f>
        <v>3.6</v>
      </c>
      <c r="G3" s="1">
        <v>86.7</v>
      </c>
      <c r="I3" s="1">
        <v>0.74</v>
      </c>
      <c r="J3" s="1" t="s">
        <v>20</v>
      </c>
      <c r="K3" s="1">
        <v>43</v>
      </c>
      <c r="L3" s="1" t="s">
        <v>239</v>
      </c>
    </row>
    <row r="4" spans="2:17" x14ac:dyDescent="0.3">
      <c r="B4" s="1">
        <v>1</v>
      </c>
      <c r="C4" s="1" t="s">
        <v>375</v>
      </c>
      <c r="D4" s="1">
        <v>1430</v>
      </c>
      <c r="E4" s="1">
        <v>1.56</v>
      </c>
      <c r="F4" s="1">
        <f>ROUNDUP(Motor_4P_IE5_T[[#This Row],[Rated FL Amp (415V)(3Ph)]]*((SQRT(3)*$E$1)/$F$1),1)</f>
        <v>4.6999999999999993</v>
      </c>
      <c r="G4" s="1">
        <v>88.2</v>
      </c>
      <c r="H4" s="1" t="s">
        <v>20</v>
      </c>
      <c r="I4" s="1">
        <v>0.74</v>
      </c>
      <c r="J4" s="1" t="s">
        <v>20</v>
      </c>
      <c r="K4" s="1">
        <v>46</v>
      </c>
      <c r="L4" s="1" t="s">
        <v>239</v>
      </c>
    </row>
    <row r="5" spans="2:17" x14ac:dyDescent="0.3">
      <c r="B5" s="1">
        <v>1.5</v>
      </c>
      <c r="C5" s="1" t="s">
        <v>376</v>
      </c>
      <c r="D5" s="1">
        <v>1434</v>
      </c>
      <c r="E5" s="1">
        <v>2.2899999999999996</v>
      </c>
      <c r="F5" s="1">
        <f>ROUNDUP(Motor_4P_IE5_T[[#This Row],[Rated FL Amp (415V)(3Ph)]]*((SQRT(3)*$E$1)/$F$1),1)</f>
        <v>6.8999999999999995</v>
      </c>
      <c r="G5" s="1">
        <v>89.5</v>
      </c>
      <c r="H5" s="1" t="s">
        <v>20</v>
      </c>
      <c r="I5" s="1">
        <v>0.75</v>
      </c>
      <c r="J5" s="1" t="s">
        <v>20</v>
      </c>
      <c r="K5" s="1">
        <v>55</v>
      </c>
      <c r="L5" s="1" t="s">
        <v>240</v>
      </c>
      <c r="O5">
        <v>1.3</v>
      </c>
      <c r="Q5" s="6">
        <f>ROUNDUP((O5*$O$2/$Q$2),2)</f>
        <v>1.2</v>
      </c>
    </row>
    <row r="6" spans="2:17" x14ac:dyDescent="0.3">
      <c r="B6" s="1">
        <v>2</v>
      </c>
      <c r="C6" s="1" t="s">
        <v>377</v>
      </c>
      <c r="D6" s="1">
        <v>1436</v>
      </c>
      <c r="E6" s="1">
        <v>2.94</v>
      </c>
      <c r="F6" s="1">
        <f>ROUNDUP(Motor_4P_IE5_T[[#This Row],[Rated FL Amp (415V)(3Ph)]]*((SQRT(3)*$E$1)/$F$1),1)</f>
        <v>8.9</v>
      </c>
      <c r="G6" s="1">
        <v>90.4</v>
      </c>
      <c r="H6" s="1" t="s">
        <v>20</v>
      </c>
      <c r="I6" s="1">
        <v>0.78</v>
      </c>
      <c r="J6" s="1" t="s">
        <v>20</v>
      </c>
      <c r="K6" s="1">
        <v>62</v>
      </c>
      <c r="L6" s="1" t="s">
        <v>241</v>
      </c>
      <c r="O6">
        <v>1.7</v>
      </c>
      <c r="Q6" s="6">
        <f t="shared" ref="Q6:Q10" si="0">ROUNDUP((O6*$O$2/$Q$2),2)</f>
        <v>1.56</v>
      </c>
    </row>
    <row r="7" spans="2:17" x14ac:dyDescent="0.3">
      <c r="B7" s="1">
        <v>3</v>
      </c>
      <c r="C7" s="1" t="s">
        <v>378</v>
      </c>
      <c r="D7" s="1">
        <v>1453</v>
      </c>
      <c r="E7" s="1">
        <v>4.22</v>
      </c>
      <c r="F7" s="1">
        <f>ROUNDUP(Motor_4P_IE5_T[[#This Row],[Rated FL Amp (415V)(3Ph)]]*((SQRT(3)*$E$1)/$F$1),1)</f>
        <v>12.7</v>
      </c>
      <c r="G7" s="1">
        <v>91.4</v>
      </c>
      <c r="H7" s="1" t="s">
        <v>20</v>
      </c>
      <c r="I7" s="1">
        <v>0.79</v>
      </c>
      <c r="J7" s="1" t="s">
        <v>20</v>
      </c>
      <c r="K7" s="1">
        <v>65</v>
      </c>
      <c r="L7" s="1" t="s">
        <v>242</v>
      </c>
      <c r="O7">
        <v>2.5</v>
      </c>
      <c r="Q7" s="6">
        <f t="shared" si="0"/>
        <v>2.2899999999999996</v>
      </c>
    </row>
    <row r="8" spans="2:17" x14ac:dyDescent="0.3">
      <c r="B8" s="1">
        <v>4</v>
      </c>
      <c r="C8" s="1" t="s">
        <v>379</v>
      </c>
      <c r="D8" s="1">
        <v>1447</v>
      </c>
      <c r="E8" s="1">
        <v>5.68</v>
      </c>
      <c r="F8" s="1">
        <f>ROUNDUP(Motor_4P_IE5_T[[#This Row],[Rated FL Amp (415V)(3Ph)]]*((SQRT(3)*$E$1)/$F$1),1)</f>
        <v>17.100000000000001</v>
      </c>
      <c r="G8" s="1">
        <v>92.1</v>
      </c>
      <c r="H8" s="1" t="s">
        <v>20</v>
      </c>
      <c r="I8" s="1">
        <v>0.8</v>
      </c>
      <c r="J8" s="1" t="s">
        <v>20</v>
      </c>
      <c r="K8" s="1">
        <v>68</v>
      </c>
      <c r="L8" s="1" t="s">
        <v>242</v>
      </c>
      <c r="O8">
        <v>3.2</v>
      </c>
      <c r="Q8" s="6">
        <f t="shared" si="0"/>
        <v>2.94</v>
      </c>
    </row>
    <row r="9" spans="2:17" x14ac:dyDescent="0.3">
      <c r="B9" s="1">
        <v>5.5</v>
      </c>
      <c r="C9" s="1" t="s">
        <v>380</v>
      </c>
      <c r="D9" s="1">
        <v>1462</v>
      </c>
      <c r="E9" s="1">
        <v>7.51</v>
      </c>
      <c r="F9" s="1">
        <f>ROUNDUP(Motor_4P_IE5_T[[#This Row],[Rated FL Amp (415V)(3Ph)]]*((SQRT(3)*$E$1)/$F$1),1)</f>
        <v>22.5</v>
      </c>
      <c r="G9" s="1">
        <v>92.8</v>
      </c>
      <c r="H9" s="1" t="s">
        <v>20</v>
      </c>
      <c r="I9" s="1">
        <v>0.8</v>
      </c>
      <c r="J9" s="1" t="s">
        <v>20</v>
      </c>
      <c r="K9" s="1">
        <v>93</v>
      </c>
      <c r="L9" s="1" t="s">
        <v>243</v>
      </c>
      <c r="O9">
        <v>4.5999999999999996</v>
      </c>
      <c r="Q9" s="6">
        <f t="shared" si="0"/>
        <v>4.22</v>
      </c>
    </row>
    <row r="10" spans="2:17" x14ac:dyDescent="0.3">
      <c r="B10" s="1">
        <v>7.5</v>
      </c>
      <c r="C10" s="1" t="s">
        <v>381</v>
      </c>
      <c r="D10" s="1">
        <v>1469</v>
      </c>
      <c r="E10" s="1">
        <v>10.299999999999999</v>
      </c>
      <c r="F10" s="1">
        <f>ROUNDUP(Motor_4P_IE5_T[[#This Row],[Rated FL Amp (415V)(3Ph)]]*((SQRT(3)*$E$1)/$F$1),1)</f>
        <v>30.900000000000002</v>
      </c>
      <c r="G10" s="1">
        <v>93.4</v>
      </c>
      <c r="H10" s="1" t="s">
        <v>20</v>
      </c>
      <c r="I10" s="1">
        <v>0.8</v>
      </c>
      <c r="J10" s="1" t="s">
        <v>20</v>
      </c>
      <c r="K10" s="1">
        <v>127</v>
      </c>
      <c r="L10" s="1" t="s">
        <v>244</v>
      </c>
      <c r="O10">
        <v>6.2</v>
      </c>
      <c r="Q10" s="6">
        <f t="shared" si="0"/>
        <v>5.68</v>
      </c>
    </row>
    <row r="11" spans="2:17" x14ac:dyDescent="0.3">
      <c r="B11" s="1">
        <v>10</v>
      </c>
      <c r="C11" s="1" t="s">
        <v>382</v>
      </c>
      <c r="D11" s="1">
        <v>1471</v>
      </c>
      <c r="E11" s="1">
        <v>13.799999999999999</v>
      </c>
      <c r="F11" s="1">
        <f>ROUNDUP(Motor_4P_IE5_T[[#This Row],[Rated FL Amp (415V)(3Ph)]]*((SQRT(3)*$E$1)/$F$1),1)</f>
        <v>41.4</v>
      </c>
      <c r="G11" s="1">
        <v>94</v>
      </c>
      <c r="H11" s="1" t="s">
        <v>20</v>
      </c>
      <c r="I11" s="1">
        <v>0.81</v>
      </c>
      <c r="J11" s="1" t="s">
        <v>20</v>
      </c>
      <c r="K11" s="1">
        <v>143</v>
      </c>
      <c r="L11" s="1" t="s">
        <v>246</v>
      </c>
      <c r="O11">
        <v>8.1999999999999993</v>
      </c>
      <c r="Q11" s="6">
        <f>ROUNDUP((O11*$O$2/$Q$2),2)</f>
        <v>7.51</v>
      </c>
    </row>
    <row r="12" spans="2:17" x14ac:dyDescent="0.3">
      <c r="B12" s="1">
        <v>15</v>
      </c>
      <c r="C12" s="1" t="s">
        <v>383</v>
      </c>
      <c r="D12" s="1">
        <v>1479</v>
      </c>
      <c r="E12" s="1">
        <v>19.600000000000001</v>
      </c>
      <c r="F12" s="1">
        <f>ROUNDUP(Motor_4P_IE5_T[[#This Row],[Rated FL Amp (415V)(3Ph)]]*((SQRT(3)*$E$1)/$F$1),1)</f>
        <v>58.800000000000004</v>
      </c>
      <c r="G12" s="1">
        <v>94.6</v>
      </c>
      <c r="H12" s="1" t="s">
        <v>20</v>
      </c>
      <c r="I12" s="1">
        <v>0.83</v>
      </c>
      <c r="J12" s="1" t="s">
        <v>20</v>
      </c>
      <c r="K12" s="1">
        <v>200</v>
      </c>
      <c r="L12" s="1" t="s">
        <v>245</v>
      </c>
      <c r="O12">
        <v>11.2</v>
      </c>
      <c r="Q12" s="7">
        <f>ROUNDUP((O12*$O$2/$Q$2),1)</f>
        <v>10.299999999999999</v>
      </c>
    </row>
    <row r="13" spans="2:17" x14ac:dyDescent="0.3">
      <c r="B13" s="1">
        <v>20</v>
      </c>
      <c r="C13" s="1" t="s">
        <v>384</v>
      </c>
      <c r="D13" s="1">
        <v>1481</v>
      </c>
      <c r="E13" s="1">
        <v>26.1</v>
      </c>
      <c r="F13" s="1">
        <f>ROUNDUP(Motor_4P_IE5_T[[#This Row],[Rated FL Amp (415V)(3Ph)]]*((SQRT(3)*$E$1)/$F$1),1)</f>
        <v>78.199999999999989</v>
      </c>
      <c r="G13" s="1">
        <v>95.1</v>
      </c>
      <c r="H13" s="1" t="s">
        <v>20</v>
      </c>
      <c r="I13" s="1">
        <v>0.84</v>
      </c>
      <c r="J13" s="1" t="s">
        <v>20</v>
      </c>
      <c r="K13" s="1">
        <v>240</v>
      </c>
      <c r="L13" s="1" t="s">
        <v>247</v>
      </c>
      <c r="O13">
        <v>15</v>
      </c>
      <c r="Q13" s="7">
        <f t="shared" ref="Q13:Q20" si="1">ROUNDUP((O13*$O$2/$Q$2),1)</f>
        <v>13.799999999999999</v>
      </c>
    </row>
    <row r="14" spans="2:17" x14ac:dyDescent="0.3">
      <c r="B14" s="1">
        <v>25</v>
      </c>
      <c r="C14" s="1" t="s">
        <v>385</v>
      </c>
      <c r="D14" s="1">
        <v>1481</v>
      </c>
      <c r="E14" s="1">
        <v>31.8</v>
      </c>
      <c r="F14" s="1">
        <f>ROUNDUP(Motor_4P_IE5_T[[#This Row],[Rated FL Amp (415V)(3Ph)]]*((SQRT(3)*$E$1)/$F$1),1)</f>
        <v>95.3</v>
      </c>
      <c r="G14" s="1">
        <v>95.3</v>
      </c>
      <c r="H14" s="1" t="s">
        <v>20</v>
      </c>
      <c r="I14" s="1">
        <v>0.85</v>
      </c>
      <c r="J14" s="1" t="s">
        <v>20</v>
      </c>
      <c r="K14" s="1">
        <v>245</v>
      </c>
      <c r="L14" s="1" t="s">
        <v>248</v>
      </c>
      <c r="O14">
        <v>21.3</v>
      </c>
      <c r="Q14" s="7">
        <f t="shared" si="1"/>
        <v>19.600000000000001</v>
      </c>
    </row>
    <row r="15" spans="2:17" x14ac:dyDescent="0.3">
      <c r="B15" s="1">
        <v>30</v>
      </c>
      <c r="C15" s="1" t="s">
        <v>386</v>
      </c>
      <c r="D15" s="1">
        <v>1482</v>
      </c>
      <c r="E15" s="1">
        <v>37.800000000000004</v>
      </c>
      <c r="F15" s="1">
        <f>ROUNDUP(Motor_4P_IE5_T[[#This Row],[Rated FL Amp (415V)(3Ph)]]*((SQRT(3)*$E$1)/$F$1),1)</f>
        <v>113.3</v>
      </c>
      <c r="G15" s="1">
        <v>95.5</v>
      </c>
      <c r="H15" s="1" t="s">
        <v>20</v>
      </c>
      <c r="I15" s="1">
        <v>0.85</v>
      </c>
      <c r="J15" s="1" t="s">
        <v>20</v>
      </c>
      <c r="K15" s="1">
        <v>274</v>
      </c>
      <c r="L15" s="1" t="s">
        <v>249</v>
      </c>
      <c r="O15">
        <v>28.5</v>
      </c>
      <c r="Q15" s="7">
        <f t="shared" si="1"/>
        <v>26.1</v>
      </c>
    </row>
    <row r="16" spans="2:17" x14ac:dyDescent="0.3">
      <c r="B16" s="1">
        <v>40</v>
      </c>
      <c r="C16" s="1" t="s">
        <v>387</v>
      </c>
      <c r="D16" s="1">
        <v>1485</v>
      </c>
      <c r="E16" s="1">
        <v>51.2</v>
      </c>
      <c r="F16" s="1">
        <f>ROUNDUP(Motor_4P_IE5_T[[#This Row],[Rated FL Amp (415V)(3Ph)]]*((SQRT(3)*$E$1)/$F$1),1)</f>
        <v>153.4</v>
      </c>
      <c r="G16" s="1">
        <v>95.9</v>
      </c>
      <c r="H16" s="1" t="s">
        <v>20</v>
      </c>
      <c r="I16" s="1">
        <v>0.85</v>
      </c>
      <c r="J16" s="1" t="s">
        <v>20</v>
      </c>
      <c r="K16" s="1">
        <v>378</v>
      </c>
      <c r="L16" s="1" t="s">
        <v>250</v>
      </c>
      <c r="O16">
        <v>34.700000000000003</v>
      </c>
      <c r="Q16" s="7">
        <f t="shared" si="1"/>
        <v>31.8</v>
      </c>
    </row>
    <row r="17" spans="2:17" x14ac:dyDescent="0.3">
      <c r="B17" s="1">
        <v>50</v>
      </c>
      <c r="C17" s="1" t="s">
        <v>388</v>
      </c>
      <c r="D17" s="1">
        <v>1490</v>
      </c>
      <c r="E17" s="1">
        <v>63</v>
      </c>
      <c r="F17" s="1">
        <f>ROUNDUP(Motor_4P_IE5_T[[#This Row],[Rated FL Amp (415V)(3Ph)]]*((SQRT(3)*$E$1)/$F$1),1)</f>
        <v>188.7</v>
      </c>
      <c r="G17" s="1">
        <v>96.1</v>
      </c>
      <c r="H17" s="1" t="s">
        <v>20</v>
      </c>
      <c r="I17" s="1">
        <v>0.85</v>
      </c>
      <c r="J17" s="1" t="s">
        <v>20</v>
      </c>
      <c r="K17" s="1">
        <v>515</v>
      </c>
      <c r="L17" s="1" t="s">
        <v>251</v>
      </c>
      <c r="O17">
        <v>41.2</v>
      </c>
      <c r="Q17" s="7">
        <f t="shared" si="1"/>
        <v>37.800000000000004</v>
      </c>
    </row>
    <row r="18" spans="2:17" x14ac:dyDescent="0.3">
      <c r="B18" s="1">
        <v>60</v>
      </c>
      <c r="C18" s="1" t="s">
        <v>389</v>
      </c>
      <c r="D18" s="1">
        <v>1490</v>
      </c>
      <c r="E18" s="1">
        <v>76.5</v>
      </c>
      <c r="F18" s="1">
        <f>ROUNDUP(Motor_4P_IE5_T[[#This Row],[Rated FL Amp (415V)(3Ph)]]*((SQRT(3)*$E$1)/$F$1),1)</f>
        <v>229.2</v>
      </c>
      <c r="G18" s="1">
        <v>96.3</v>
      </c>
      <c r="H18" s="1" t="s">
        <v>20</v>
      </c>
      <c r="I18" s="1">
        <v>0.85</v>
      </c>
      <c r="J18" s="1" t="s">
        <v>20</v>
      </c>
      <c r="K18" s="1">
        <v>545</v>
      </c>
      <c r="L18" s="1" t="s">
        <v>252</v>
      </c>
      <c r="O18">
        <v>55.9</v>
      </c>
      <c r="Q18" s="7">
        <f t="shared" si="1"/>
        <v>51.2</v>
      </c>
    </row>
    <row r="19" spans="2:17" x14ac:dyDescent="0.3">
      <c r="B19" s="1">
        <v>75</v>
      </c>
      <c r="C19" s="1" t="s">
        <v>390</v>
      </c>
      <c r="D19" s="1">
        <v>1490</v>
      </c>
      <c r="E19" s="1">
        <v>92.3</v>
      </c>
      <c r="F19" s="1">
        <f>ROUNDUP(Motor_4P_IE5_T[[#This Row],[Rated FL Amp (415V)(3Ph)]]*((SQRT(3)*$E$1)/$F$1),1)</f>
        <v>276.5</v>
      </c>
      <c r="G19" s="1">
        <v>96.5</v>
      </c>
      <c r="H19" s="1" t="s">
        <v>20</v>
      </c>
      <c r="I19" s="1">
        <v>0.86</v>
      </c>
      <c r="J19" s="1" t="s">
        <v>20</v>
      </c>
      <c r="K19" s="1">
        <v>640</v>
      </c>
      <c r="L19" s="1" t="s">
        <v>253</v>
      </c>
      <c r="O19">
        <v>68.8</v>
      </c>
      <c r="Q19" s="7">
        <f t="shared" si="1"/>
        <v>63</v>
      </c>
    </row>
    <row r="20" spans="2:17" x14ac:dyDescent="0.3">
      <c r="B20" s="1">
        <v>100</v>
      </c>
      <c r="C20" s="1" t="s">
        <v>391</v>
      </c>
      <c r="D20" s="1">
        <v>1492</v>
      </c>
      <c r="E20" s="1">
        <v>125</v>
      </c>
      <c r="F20" s="1">
        <f>ROUNDUP(Motor_4P_IE5_T[[#This Row],[Rated FL Amp (415V)(3Ph)]]*((SQRT(3)*$E$1)/$F$1),1)</f>
        <v>374.40000000000003</v>
      </c>
      <c r="G20" s="1">
        <v>96.7</v>
      </c>
      <c r="H20" s="1" t="s">
        <v>20</v>
      </c>
      <c r="I20" s="1">
        <v>0.87</v>
      </c>
      <c r="J20" s="1" t="s">
        <v>20</v>
      </c>
      <c r="K20" s="1">
        <v>1049</v>
      </c>
      <c r="L20" s="1" t="s">
        <v>254</v>
      </c>
      <c r="O20">
        <v>83.5</v>
      </c>
      <c r="Q20" s="7">
        <f t="shared" si="1"/>
        <v>76.5</v>
      </c>
    </row>
    <row r="21" spans="2:17" x14ac:dyDescent="0.3">
      <c r="B21" s="1">
        <v>125</v>
      </c>
      <c r="C21" s="1" t="s">
        <v>392</v>
      </c>
      <c r="D21" s="1">
        <v>1492</v>
      </c>
      <c r="E21" s="1">
        <v>149</v>
      </c>
      <c r="F21" s="1">
        <f>ROUNDUP(Motor_4P_IE5_T[[#This Row],[Rated FL Amp (415V)(3Ph)]]*((SQRT(3)*$E$1)/$F$1),1)</f>
        <v>446.3</v>
      </c>
      <c r="G21" s="1">
        <v>96.9</v>
      </c>
      <c r="H21" s="1" t="s">
        <v>20</v>
      </c>
      <c r="I21" s="1">
        <v>0.87</v>
      </c>
      <c r="J21" s="1" t="s">
        <v>20</v>
      </c>
      <c r="K21" s="1">
        <v>1180</v>
      </c>
      <c r="L21" s="1" t="s">
        <v>255</v>
      </c>
      <c r="O21">
        <v>100.7</v>
      </c>
      <c r="Q21" s="7">
        <f>ROUNDUP((O21*$O$2/$Q$2),1)</f>
        <v>92.3</v>
      </c>
    </row>
    <row r="22" spans="2:17" x14ac:dyDescent="0.3">
      <c r="B22" s="1">
        <v>150</v>
      </c>
      <c r="C22" s="1" t="s">
        <v>393</v>
      </c>
      <c r="D22" s="1">
        <v>1493</v>
      </c>
      <c r="E22" s="1">
        <v>182</v>
      </c>
      <c r="F22" s="1">
        <f>ROUNDUP(Motor_4P_IE5_T[[#This Row],[Rated FL Amp (415V)(3Ph)]]*((SQRT(3)*$E$1)/$F$1),1)</f>
        <v>545.1</v>
      </c>
      <c r="G22" s="1">
        <v>97</v>
      </c>
      <c r="H22" s="1" t="s">
        <v>20</v>
      </c>
      <c r="I22" s="1">
        <v>0.87</v>
      </c>
      <c r="J22" s="1" t="s">
        <v>20</v>
      </c>
      <c r="K22" s="1">
        <v>1192</v>
      </c>
      <c r="L22" s="1" t="s">
        <v>256</v>
      </c>
      <c r="O22">
        <v>135.5</v>
      </c>
      <c r="Q22" s="8">
        <f t="shared" ref="Q22:Q33" si="2">ROUNDUP((O22*$O$2/$Q$2),0)</f>
        <v>125</v>
      </c>
    </row>
    <row r="23" spans="2:17" x14ac:dyDescent="0.3">
      <c r="B23" s="1">
        <v>175</v>
      </c>
      <c r="C23" s="1" t="s">
        <v>394</v>
      </c>
      <c r="D23" s="1">
        <v>1493</v>
      </c>
      <c r="E23" s="1">
        <v>218</v>
      </c>
      <c r="F23" s="1">
        <f>ROUNDUP(Motor_4P_IE5_T[[#This Row],[Rated FL Amp (415V)(3Ph)]]*((SQRT(3)*$E$1)/$F$1),1)</f>
        <v>653</v>
      </c>
      <c r="G23" s="1">
        <v>97.1</v>
      </c>
      <c r="H23" s="1" t="s">
        <v>20</v>
      </c>
      <c r="I23" s="1">
        <v>0.87</v>
      </c>
      <c r="J23" s="1" t="s">
        <v>20</v>
      </c>
      <c r="K23" s="1">
        <v>1326</v>
      </c>
      <c r="L23" s="1" t="s">
        <v>257</v>
      </c>
      <c r="O23">
        <v>162.19999999999999</v>
      </c>
      <c r="Q23" s="8">
        <f t="shared" si="2"/>
        <v>149</v>
      </c>
    </row>
    <row r="24" spans="2:17" x14ac:dyDescent="0.3">
      <c r="B24" s="1">
        <v>215</v>
      </c>
      <c r="C24" s="1" t="s">
        <v>395</v>
      </c>
      <c r="D24" s="1">
        <v>1494</v>
      </c>
      <c r="E24" s="1">
        <v>264</v>
      </c>
      <c r="F24" s="1">
        <f>ROUNDUP(Motor_4P_IE5_T[[#This Row],[Rated FL Amp (415V)(3Ph)]]*((SQRT(3)*$E$1)/$F$1),1)</f>
        <v>790.7</v>
      </c>
      <c r="G24" s="1">
        <v>97.2</v>
      </c>
      <c r="H24" s="1" t="s">
        <v>20</v>
      </c>
      <c r="I24" s="1">
        <v>0.87</v>
      </c>
      <c r="J24" s="1" t="s">
        <v>20</v>
      </c>
      <c r="K24" s="1">
        <v>1420</v>
      </c>
      <c r="L24" s="1" t="s">
        <v>258</v>
      </c>
      <c r="O24">
        <v>198</v>
      </c>
      <c r="Q24" s="8">
        <f t="shared" si="2"/>
        <v>182</v>
      </c>
    </row>
    <row r="25" spans="2:17" x14ac:dyDescent="0.3">
      <c r="B25" s="1">
        <v>270</v>
      </c>
      <c r="C25" s="1" t="s">
        <v>396</v>
      </c>
      <c r="D25" s="1">
        <v>1494</v>
      </c>
      <c r="E25" s="1">
        <v>329</v>
      </c>
      <c r="F25" s="1">
        <f>ROUNDUP(Motor_4P_IE5_T[[#This Row],[Rated FL Amp (415V)(3Ph)]]*((SQRT(3)*$E$1)/$F$1),1)</f>
        <v>985.4</v>
      </c>
      <c r="G25" s="1">
        <v>97.4</v>
      </c>
      <c r="H25" s="1" t="s">
        <v>20</v>
      </c>
      <c r="I25" s="1">
        <v>0.87</v>
      </c>
      <c r="J25" s="1" t="s">
        <v>20</v>
      </c>
      <c r="K25" s="1">
        <v>1627</v>
      </c>
      <c r="L25" s="1" t="s">
        <v>258</v>
      </c>
      <c r="O25">
        <v>237.4</v>
      </c>
      <c r="Q25" s="8">
        <f t="shared" si="2"/>
        <v>218</v>
      </c>
    </row>
    <row r="26" spans="2:17" x14ac:dyDescent="0.3">
      <c r="B26" s="1">
        <v>300</v>
      </c>
      <c r="C26" s="1" t="s">
        <v>397</v>
      </c>
      <c r="D26" s="1">
        <v>1494</v>
      </c>
      <c r="E26" s="1">
        <v>362</v>
      </c>
      <c r="F26" s="1">
        <f>ROUNDUP(Motor_4P_IE5_T[[#This Row],[Rated FL Amp (415V)(3Ph)]]*((SQRT(3)*$E$1)/$F$1),1)</f>
        <v>1084.1999999999998</v>
      </c>
      <c r="G26" s="1">
        <v>97.4</v>
      </c>
      <c r="H26" s="1" t="s">
        <v>20</v>
      </c>
      <c r="I26" s="1">
        <v>0.87</v>
      </c>
      <c r="J26" s="1" t="s">
        <v>20</v>
      </c>
      <c r="K26" s="1">
        <v>1957</v>
      </c>
      <c r="L26" s="1" t="s">
        <v>259</v>
      </c>
      <c r="O26">
        <v>287.5</v>
      </c>
      <c r="Q26" s="8">
        <f t="shared" si="2"/>
        <v>264</v>
      </c>
    </row>
    <row r="27" spans="2:17" x14ac:dyDescent="0.3">
      <c r="B27" s="1">
        <v>335</v>
      </c>
      <c r="C27" s="1" t="s">
        <v>398</v>
      </c>
      <c r="D27" s="1">
        <v>1495</v>
      </c>
      <c r="E27" s="1">
        <v>406</v>
      </c>
      <c r="F27" s="1">
        <f>ROUNDUP(Motor_4P_IE5_T[[#This Row],[Rated FL Amp (415V)(3Ph)]]*((SQRT(3)*$E$1)/$F$1),1)</f>
        <v>1216</v>
      </c>
      <c r="G27" s="1">
        <v>97.4</v>
      </c>
      <c r="H27" s="1" t="s">
        <v>20</v>
      </c>
      <c r="I27" s="1">
        <v>0.88</v>
      </c>
      <c r="J27" s="1" t="s">
        <v>20</v>
      </c>
      <c r="K27" s="1">
        <v>2014</v>
      </c>
      <c r="L27" s="1" t="s">
        <v>259</v>
      </c>
      <c r="O27">
        <v>358.6</v>
      </c>
      <c r="Q27" s="8">
        <f t="shared" si="2"/>
        <v>329</v>
      </c>
    </row>
    <row r="28" spans="2:17" x14ac:dyDescent="0.3">
      <c r="B28" s="1">
        <v>375</v>
      </c>
      <c r="C28" s="1" t="s">
        <v>399</v>
      </c>
      <c r="D28" s="1">
        <v>1495</v>
      </c>
      <c r="E28" s="1">
        <v>455</v>
      </c>
      <c r="F28" s="1">
        <f>ROUNDUP(Motor_4P_IE5_T[[#This Row],[Rated FL Amp (415V)(3Ph)]]*((SQRT(3)*$E$1)/$F$1),1)</f>
        <v>1362.8</v>
      </c>
      <c r="G28" s="1">
        <v>97.4</v>
      </c>
      <c r="H28" s="1" t="s">
        <v>20</v>
      </c>
      <c r="I28" s="1">
        <v>0.88</v>
      </c>
      <c r="J28" s="1" t="s">
        <v>20</v>
      </c>
      <c r="K28" s="1">
        <v>2167</v>
      </c>
      <c r="L28" s="1" t="s">
        <v>260</v>
      </c>
      <c r="O28">
        <v>394.5</v>
      </c>
      <c r="Q28" s="8">
        <f t="shared" si="2"/>
        <v>362</v>
      </c>
    </row>
    <row r="29" spans="2:17" x14ac:dyDescent="0.3">
      <c r="B29" s="1">
        <v>420</v>
      </c>
      <c r="C29" s="1" t="s">
        <v>400</v>
      </c>
      <c r="D29" s="1">
        <v>1497</v>
      </c>
      <c r="E29" s="1">
        <v>512</v>
      </c>
      <c r="F29" s="1">
        <f>ROUNDUP(Motor_4P_IE5_T[[#This Row],[Rated FL Amp (415V)(3Ph)]]*((SQRT(3)*$E$1)/$F$1),1)</f>
        <v>1533.5</v>
      </c>
      <c r="G29" s="1">
        <v>97.4</v>
      </c>
      <c r="H29" s="1" t="s">
        <v>20</v>
      </c>
      <c r="I29" s="1">
        <v>0.88</v>
      </c>
      <c r="J29" s="1" t="s">
        <v>20</v>
      </c>
      <c r="K29" s="1">
        <v>2279</v>
      </c>
      <c r="L29" s="1" t="s">
        <v>260</v>
      </c>
      <c r="O29">
        <v>443.2</v>
      </c>
      <c r="Q29" s="8">
        <f t="shared" si="2"/>
        <v>406</v>
      </c>
    </row>
    <row r="30" spans="2:17" x14ac:dyDescent="0.3">
      <c r="O30">
        <v>496.4</v>
      </c>
      <c r="Q30" s="8">
        <f t="shared" si="2"/>
        <v>455</v>
      </c>
    </row>
    <row r="31" spans="2:17" x14ac:dyDescent="0.3">
      <c r="O31">
        <v>558.4</v>
      </c>
      <c r="Q31" s="8">
        <f t="shared" si="2"/>
        <v>512</v>
      </c>
    </row>
    <row r="32" spans="2:17" x14ac:dyDescent="0.3">
      <c r="Q32" s="8">
        <f t="shared" si="2"/>
        <v>0</v>
      </c>
    </row>
    <row r="33" spans="17:17" x14ac:dyDescent="0.3">
      <c r="Q33" s="8">
        <f t="shared" si="2"/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57CC-29D5-4F81-ABCD-E539E5087EC3}">
  <dimension ref="B3:J101"/>
  <sheetViews>
    <sheetView workbookViewId="0">
      <selection activeCell="M11" sqref="M11"/>
    </sheetView>
  </sheetViews>
  <sheetFormatPr defaultRowHeight="14.4" x14ac:dyDescent="0.3"/>
  <cols>
    <col min="2" max="9" width="8.88671875" style="1"/>
  </cols>
  <sheetData>
    <row r="3" spans="2:10" x14ac:dyDescent="0.3">
      <c r="B3" s="1" t="s">
        <v>191</v>
      </c>
      <c r="C3" s="1" t="s">
        <v>402</v>
      </c>
      <c r="D3" s="1" t="s">
        <v>189</v>
      </c>
      <c r="E3" s="1" t="s">
        <v>403</v>
      </c>
      <c r="F3" s="1" t="s">
        <v>404</v>
      </c>
      <c r="G3" s="1" t="s">
        <v>405</v>
      </c>
      <c r="H3" s="1" t="s">
        <v>407</v>
      </c>
      <c r="I3" s="1" t="s">
        <v>406</v>
      </c>
      <c r="J3" s="1" t="s">
        <v>408</v>
      </c>
    </row>
    <row r="4" spans="2:10" x14ac:dyDescent="0.3">
      <c r="B4" s="1" t="s">
        <v>192</v>
      </c>
      <c r="C4" s="1">
        <v>304</v>
      </c>
      <c r="D4" s="1">
        <v>160</v>
      </c>
      <c r="E4" s="1">
        <v>40</v>
      </c>
      <c r="F4" s="1">
        <v>50</v>
      </c>
      <c r="G4" s="1">
        <v>100</v>
      </c>
      <c r="H4" s="1">
        <v>150</v>
      </c>
      <c r="I4" s="1">
        <v>125</v>
      </c>
      <c r="J4" s="1">
        <v>80</v>
      </c>
    </row>
    <row r="5" spans="2:10" x14ac:dyDescent="0.3">
      <c r="B5" s="1" t="s">
        <v>239</v>
      </c>
      <c r="C5" s="1">
        <v>304</v>
      </c>
      <c r="D5" s="1">
        <v>160</v>
      </c>
      <c r="E5" s="1">
        <v>40</v>
      </c>
      <c r="F5" s="1">
        <v>50</v>
      </c>
      <c r="G5" s="1">
        <v>100</v>
      </c>
      <c r="H5" s="1">
        <v>150</v>
      </c>
      <c r="I5" s="1">
        <v>125</v>
      </c>
      <c r="J5" s="1">
        <v>80</v>
      </c>
    </row>
    <row r="6" spans="2:10" x14ac:dyDescent="0.3">
      <c r="B6" s="1" t="s">
        <v>409</v>
      </c>
      <c r="C6" s="1">
        <v>304</v>
      </c>
      <c r="D6" s="1">
        <v>160</v>
      </c>
      <c r="E6" s="1">
        <v>40</v>
      </c>
      <c r="F6" s="1">
        <v>50</v>
      </c>
      <c r="G6" s="1">
        <v>100</v>
      </c>
      <c r="H6" s="1">
        <v>150</v>
      </c>
      <c r="I6" s="1">
        <v>125</v>
      </c>
      <c r="J6" s="1">
        <v>80</v>
      </c>
    </row>
    <row r="7" spans="2:10" x14ac:dyDescent="0.3">
      <c r="B7" s="1" t="s">
        <v>410</v>
      </c>
      <c r="C7" s="1">
        <v>304</v>
      </c>
      <c r="D7" s="1">
        <v>160</v>
      </c>
      <c r="E7" s="1">
        <v>40</v>
      </c>
      <c r="F7" s="1">
        <v>50</v>
      </c>
      <c r="G7" s="1">
        <v>100</v>
      </c>
      <c r="H7" s="1">
        <v>150</v>
      </c>
      <c r="I7" s="1">
        <v>125</v>
      </c>
      <c r="J7" s="1">
        <v>80</v>
      </c>
    </row>
    <row r="8" spans="2:10" x14ac:dyDescent="0.3">
      <c r="B8" s="1" t="s">
        <v>193</v>
      </c>
      <c r="C8" s="1">
        <v>335</v>
      </c>
      <c r="D8" s="1">
        <v>176</v>
      </c>
      <c r="E8" s="1">
        <v>50</v>
      </c>
      <c r="F8" s="1">
        <v>56</v>
      </c>
      <c r="G8" s="1">
        <v>100</v>
      </c>
      <c r="H8" s="1">
        <v>161</v>
      </c>
      <c r="I8" s="1">
        <v>140</v>
      </c>
      <c r="J8" s="1">
        <v>90</v>
      </c>
    </row>
    <row r="9" spans="2:10" x14ac:dyDescent="0.3">
      <c r="B9" s="1" t="s">
        <v>240</v>
      </c>
      <c r="C9" s="1">
        <v>335</v>
      </c>
      <c r="D9" s="1">
        <v>176</v>
      </c>
      <c r="E9" s="1">
        <v>50</v>
      </c>
      <c r="F9" s="1">
        <v>56</v>
      </c>
      <c r="G9" s="1">
        <v>100</v>
      </c>
      <c r="H9" s="1">
        <v>161</v>
      </c>
      <c r="I9" s="1">
        <v>140</v>
      </c>
      <c r="J9" s="1">
        <v>90</v>
      </c>
    </row>
    <row r="10" spans="2:10" x14ac:dyDescent="0.3">
      <c r="B10" s="1" t="s">
        <v>411</v>
      </c>
      <c r="C10" s="1">
        <v>335</v>
      </c>
      <c r="D10" s="1">
        <v>176</v>
      </c>
      <c r="E10" s="1">
        <v>50</v>
      </c>
      <c r="F10" s="1">
        <v>56</v>
      </c>
      <c r="G10" s="1">
        <v>100</v>
      </c>
      <c r="H10" s="1">
        <v>161</v>
      </c>
      <c r="I10" s="1">
        <v>140</v>
      </c>
      <c r="J10" s="1">
        <v>90</v>
      </c>
    </row>
    <row r="11" spans="2:10" x14ac:dyDescent="0.3">
      <c r="B11" s="1" t="s">
        <v>412</v>
      </c>
      <c r="C11" s="1">
        <v>335</v>
      </c>
      <c r="D11" s="1">
        <v>176</v>
      </c>
      <c r="E11" s="1">
        <v>50</v>
      </c>
      <c r="F11" s="1">
        <v>56</v>
      </c>
      <c r="G11" s="1">
        <v>100</v>
      </c>
      <c r="H11" s="1">
        <v>161</v>
      </c>
      <c r="I11" s="1">
        <v>140</v>
      </c>
      <c r="J11" s="1">
        <v>90</v>
      </c>
    </row>
    <row r="12" spans="2:10" x14ac:dyDescent="0.3">
      <c r="B12" s="1" t="s">
        <v>194</v>
      </c>
      <c r="C12" s="1">
        <v>360</v>
      </c>
      <c r="D12" s="1">
        <v>176</v>
      </c>
      <c r="E12" s="1">
        <v>50</v>
      </c>
      <c r="F12" s="1">
        <v>56</v>
      </c>
      <c r="G12" s="1">
        <v>125</v>
      </c>
      <c r="H12" s="1">
        <v>186</v>
      </c>
      <c r="I12" s="1">
        <v>140</v>
      </c>
      <c r="J12" s="1">
        <v>90</v>
      </c>
    </row>
    <row r="13" spans="2:10" x14ac:dyDescent="0.3">
      <c r="B13" s="1" t="s">
        <v>241</v>
      </c>
      <c r="C13" s="1">
        <v>360</v>
      </c>
      <c r="D13" s="1">
        <v>176</v>
      </c>
      <c r="E13" s="1">
        <v>50</v>
      </c>
      <c r="F13" s="1">
        <v>56</v>
      </c>
      <c r="G13" s="1">
        <v>125</v>
      </c>
      <c r="H13" s="1">
        <v>186</v>
      </c>
      <c r="I13" s="1">
        <v>140</v>
      </c>
      <c r="J13" s="1">
        <v>90</v>
      </c>
    </row>
    <row r="14" spans="2:10" x14ac:dyDescent="0.3">
      <c r="B14" s="1" t="s">
        <v>413</v>
      </c>
      <c r="C14" s="1">
        <v>360</v>
      </c>
      <c r="D14" s="1">
        <v>176</v>
      </c>
      <c r="E14" s="1">
        <v>50</v>
      </c>
      <c r="F14" s="1">
        <v>56</v>
      </c>
      <c r="G14" s="1">
        <v>125</v>
      </c>
      <c r="H14" s="1">
        <v>186</v>
      </c>
      <c r="I14" s="1">
        <v>140</v>
      </c>
      <c r="J14" s="1">
        <v>90</v>
      </c>
    </row>
    <row r="15" spans="2:10" x14ac:dyDescent="0.3">
      <c r="B15" s="1" t="s">
        <v>414</v>
      </c>
      <c r="C15" s="1">
        <v>360</v>
      </c>
      <c r="D15" s="1">
        <v>176</v>
      </c>
      <c r="E15" s="1">
        <v>50</v>
      </c>
      <c r="F15" s="1">
        <v>56</v>
      </c>
      <c r="G15" s="1">
        <v>125</v>
      </c>
      <c r="H15" s="1">
        <v>186</v>
      </c>
      <c r="I15" s="1">
        <v>140</v>
      </c>
      <c r="J15" s="1">
        <v>90</v>
      </c>
    </row>
    <row r="16" spans="2:10" x14ac:dyDescent="0.3">
      <c r="B16" s="1" t="s">
        <v>195</v>
      </c>
      <c r="C16" s="1">
        <v>406</v>
      </c>
      <c r="D16" s="1">
        <v>200</v>
      </c>
      <c r="E16" s="1">
        <v>60</v>
      </c>
      <c r="F16" s="1">
        <v>63</v>
      </c>
      <c r="G16" s="1">
        <v>140</v>
      </c>
      <c r="H16" s="1">
        <v>213</v>
      </c>
      <c r="I16" s="1">
        <v>160</v>
      </c>
      <c r="J16" s="1">
        <v>100</v>
      </c>
    </row>
    <row r="17" spans="2:10" x14ac:dyDescent="0.3">
      <c r="B17" s="1" t="s">
        <v>242</v>
      </c>
      <c r="C17" s="1">
        <v>406</v>
      </c>
      <c r="D17" s="1">
        <v>200</v>
      </c>
      <c r="E17" s="1">
        <v>60</v>
      </c>
      <c r="F17" s="1">
        <v>63</v>
      </c>
      <c r="G17" s="1">
        <v>140</v>
      </c>
      <c r="H17" s="1">
        <v>213</v>
      </c>
      <c r="I17" s="1">
        <v>160</v>
      </c>
      <c r="J17" s="1">
        <v>100</v>
      </c>
    </row>
    <row r="18" spans="2:10" x14ac:dyDescent="0.3">
      <c r="B18" s="1" t="s">
        <v>415</v>
      </c>
      <c r="C18" s="1">
        <v>406</v>
      </c>
      <c r="D18" s="1">
        <v>200</v>
      </c>
      <c r="E18" s="1">
        <v>60</v>
      </c>
      <c r="F18" s="1">
        <v>63</v>
      </c>
      <c r="G18" s="1">
        <v>140</v>
      </c>
      <c r="H18" s="1">
        <v>213</v>
      </c>
      <c r="I18" s="1">
        <v>160</v>
      </c>
      <c r="J18" s="1">
        <v>100</v>
      </c>
    </row>
    <row r="19" spans="2:10" x14ac:dyDescent="0.3">
      <c r="B19" s="1" t="s">
        <v>416</v>
      </c>
      <c r="C19" s="1">
        <v>406</v>
      </c>
      <c r="D19" s="1">
        <v>200</v>
      </c>
      <c r="E19" s="1">
        <v>60</v>
      </c>
      <c r="F19" s="1">
        <v>63</v>
      </c>
      <c r="G19" s="1">
        <v>140</v>
      </c>
      <c r="H19" s="1">
        <v>213</v>
      </c>
      <c r="I19" s="1">
        <v>160</v>
      </c>
      <c r="J19" s="1">
        <v>100</v>
      </c>
    </row>
    <row r="20" spans="2:10" x14ac:dyDescent="0.3">
      <c r="B20" s="1" t="s">
        <v>196</v>
      </c>
      <c r="C20" s="1">
        <v>452</v>
      </c>
      <c r="D20" s="1">
        <v>240</v>
      </c>
      <c r="E20" s="1">
        <v>60</v>
      </c>
      <c r="F20" s="1">
        <v>70</v>
      </c>
      <c r="G20" s="1">
        <v>140</v>
      </c>
      <c r="H20" s="1">
        <v>225</v>
      </c>
      <c r="I20" s="1">
        <v>190</v>
      </c>
      <c r="J20" s="1">
        <v>112</v>
      </c>
    </row>
    <row r="21" spans="2:10" x14ac:dyDescent="0.3">
      <c r="B21" s="1" t="s">
        <v>243</v>
      </c>
      <c r="C21" s="1">
        <v>452</v>
      </c>
      <c r="D21" s="1">
        <v>240</v>
      </c>
      <c r="E21" s="1">
        <v>60</v>
      </c>
      <c r="F21" s="1">
        <v>70</v>
      </c>
      <c r="G21" s="1">
        <v>140</v>
      </c>
      <c r="H21" s="1">
        <v>225</v>
      </c>
      <c r="I21" s="1">
        <v>190</v>
      </c>
      <c r="J21" s="1">
        <v>112</v>
      </c>
    </row>
    <row r="22" spans="2:10" x14ac:dyDescent="0.3">
      <c r="B22" s="1" t="s">
        <v>417</v>
      </c>
      <c r="C22" s="1">
        <v>452</v>
      </c>
      <c r="D22" s="1">
        <v>240</v>
      </c>
      <c r="E22" s="1">
        <v>60</v>
      </c>
      <c r="F22" s="1">
        <v>70</v>
      </c>
      <c r="G22" s="1">
        <v>140</v>
      </c>
      <c r="H22" s="1">
        <v>225</v>
      </c>
      <c r="I22" s="1">
        <v>190</v>
      </c>
      <c r="J22" s="1">
        <v>112</v>
      </c>
    </row>
    <row r="23" spans="2:10" x14ac:dyDescent="0.3">
      <c r="B23" s="1" t="s">
        <v>418</v>
      </c>
      <c r="C23" s="1">
        <v>452</v>
      </c>
      <c r="D23" s="1">
        <v>240</v>
      </c>
      <c r="E23" s="1">
        <v>60</v>
      </c>
      <c r="F23" s="1">
        <v>70</v>
      </c>
      <c r="G23" s="1">
        <v>140</v>
      </c>
      <c r="H23" s="1">
        <v>225</v>
      </c>
      <c r="I23" s="1">
        <v>190</v>
      </c>
      <c r="J23" s="1">
        <v>112</v>
      </c>
    </row>
    <row r="24" spans="2:10" x14ac:dyDescent="0.3">
      <c r="B24" s="1" t="s">
        <v>197</v>
      </c>
      <c r="C24" s="1">
        <v>470</v>
      </c>
      <c r="D24" s="1">
        <v>262</v>
      </c>
      <c r="E24" s="1">
        <v>80</v>
      </c>
      <c r="F24" s="1">
        <v>89</v>
      </c>
      <c r="G24" s="1">
        <v>140</v>
      </c>
      <c r="H24" s="1">
        <v>200</v>
      </c>
      <c r="I24" s="1">
        <v>216</v>
      </c>
      <c r="J24" s="1">
        <v>132</v>
      </c>
    </row>
    <row r="25" spans="2:10" x14ac:dyDescent="0.3">
      <c r="B25" s="1" t="s">
        <v>244</v>
      </c>
      <c r="C25" s="1">
        <v>470</v>
      </c>
      <c r="D25" s="1">
        <v>262</v>
      </c>
      <c r="E25" s="1">
        <v>80</v>
      </c>
      <c r="F25" s="1">
        <v>89</v>
      </c>
      <c r="G25" s="1">
        <v>140</v>
      </c>
      <c r="H25" s="1">
        <v>200</v>
      </c>
      <c r="I25" s="1">
        <v>216</v>
      </c>
      <c r="J25" s="1">
        <v>132</v>
      </c>
    </row>
    <row r="26" spans="2:10" x14ac:dyDescent="0.3">
      <c r="B26" s="1" t="s">
        <v>419</v>
      </c>
      <c r="C26" s="1">
        <v>470</v>
      </c>
      <c r="D26" s="1">
        <v>262</v>
      </c>
      <c r="E26" s="1">
        <v>80</v>
      </c>
      <c r="F26" s="1">
        <v>89</v>
      </c>
      <c r="G26" s="1">
        <v>140</v>
      </c>
      <c r="H26" s="1">
        <v>200</v>
      </c>
      <c r="I26" s="1">
        <v>216</v>
      </c>
      <c r="J26" s="1">
        <v>132</v>
      </c>
    </row>
    <row r="27" spans="2:10" x14ac:dyDescent="0.3">
      <c r="B27" s="1" t="s">
        <v>420</v>
      </c>
      <c r="C27" s="1">
        <v>470</v>
      </c>
      <c r="D27" s="1">
        <v>262</v>
      </c>
      <c r="E27" s="1">
        <v>80</v>
      </c>
      <c r="F27" s="1">
        <v>89</v>
      </c>
      <c r="G27" s="1">
        <v>140</v>
      </c>
      <c r="H27" s="1">
        <v>200</v>
      </c>
      <c r="I27" s="1">
        <v>216</v>
      </c>
      <c r="J27" s="1">
        <v>132</v>
      </c>
    </row>
    <row r="28" spans="2:10" x14ac:dyDescent="0.3">
      <c r="B28" s="1" t="s">
        <v>246</v>
      </c>
      <c r="C28" s="1">
        <v>508</v>
      </c>
      <c r="D28" s="1">
        <v>262</v>
      </c>
      <c r="E28" s="1">
        <v>80</v>
      </c>
      <c r="F28" s="1">
        <v>89</v>
      </c>
      <c r="G28" s="1">
        <v>178</v>
      </c>
      <c r="H28" s="1">
        <v>238</v>
      </c>
      <c r="I28" s="1">
        <v>216</v>
      </c>
      <c r="J28" s="1">
        <v>132</v>
      </c>
    </row>
    <row r="29" spans="2:10" x14ac:dyDescent="0.3">
      <c r="B29" s="1" t="s">
        <v>421</v>
      </c>
      <c r="C29" s="1">
        <v>508</v>
      </c>
      <c r="D29" s="1">
        <v>262</v>
      </c>
      <c r="E29" s="1">
        <v>80</v>
      </c>
      <c r="F29" s="1">
        <v>89</v>
      </c>
      <c r="G29" s="1">
        <v>178</v>
      </c>
      <c r="H29" s="1">
        <v>238</v>
      </c>
      <c r="I29" s="1">
        <v>216</v>
      </c>
      <c r="J29" s="1">
        <v>132</v>
      </c>
    </row>
    <row r="30" spans="2:10" x14ac:dyDescent="0.3">
      <c r="B30" s="1" t="s">
        <v>422</v>
      </c>
      <c r="C30" s="1">
        <v>508</v>
      </c>
      <c r="D30" s="1">
        <v>262</v>
      </c>
      <c r="E30" s="1">
        <v>80</v>
      </c>
      <c r="F30" s="1">
        <v>89</v>
      </c>
      <c r="G30" s="1">
        <v>178</v>
      </c>
      <c r="H30" s="1">
        <v>238</v>
      </c>
      <c r="I30" s="1">
        <v>216</v>
      </c>
      <c r="J30" s="1">
        <v>132</v>
      </c>
    </row>
    <row r="31" spans="2:10" x14ac:dyDescent="0.3">
      <c r="B31" s="1" t="s">
        <v>198</v>
      </c>
      <c r="C31" s="1">
        <v>608</v>
      </c>
      <c r="D31" s="1">
        <v>314</v>
      </c>
      <c r="E31" s="1">
        <v>110</v>
      </c>
      <c r="F31" s="1">
        <v>108</v>
      </c>
      <c r="G31" s="1">
        <v>210</v>
      </c>
      <c r="H31" s="1">
        <v>260</v>
      </c>
      <c r="I31" s="1">
        <v>254</v>
      </c>
      <c r="J31" s="1">
        <v>160</v>
      </c>
    </row>
    <row r="32" spans="2:10" x14ac:dyDescent="0.3">
      <c r="B32" s="1" t="s">
        <v>245</v>
      </c>
      <c r="C32" s="1">
        <v>608</v>
      </c>
      <c r="D32" s="1">
        <v>314</v>
      </c>
      <c r="E32" s="1">
        <v>110</v>
      </c>
      <c r="F32" s="1">
        <v>108</v>
      </c>
      <c r="G32" s="1">
        <v>210</v>
      </c>
      <c r="H32" s="1">
        <v>260</v>
      </c>
      <c r="I32" s="1">
        <v>254</v>
      </c>
      <c r="J32" s="1">
        <v>160</v>
      </c>
    </row>
    <row r="33" spans="2:10" x14ac:dyDescent="0.3">
      <c r="B33" s="1" t="s">
        <v>423</v>
      </c>
      <c r="C33" s="1">
        <v>608</v>
      </c>
      <c r="D33" s="1">
        <v>314</v>
      </c>
      <c r="E33" s="1">
        <v>110</v>
      </c>
      <c r="F33" s="1">
        <v>108</v>
      </c>
      <c r="G33" s="1">
        <v>210</v>
      </c>
      <c r="H33" s="1">
        <v>260</v>
      </c>
      <c r="I33" s="1">
        <v>254</v>
      </c>
      <c r="J33" s="1">
        <v>160</v>
      </c>
    </row>
    <row r="34" spans="2:10" x14ac:dyDescent="0.3">
      <c r="B34" s="1" t="s">
        <v>424</v>
      </c>
      <c r="C34" s="1">
        <v>608</v>
      </c>
      <c r="D34" s="1">
        <v>314</v>
      </c>
      <c r="E34" s="1">
        <v>110</v>
      </c>
      <c r="F34" s="1">
        <v>108</v>
      </c>
      <c r="G34" s="1">
        <v>210</v>
      </c>
      <c r="H34" s="1">
        <v>260</v>
      </c>
      <c r="I34" s="1">
        <v>254</v>
      </c>
      <c r="J34" s="1">
        <v>160</v>
      </c>
    </row>
    <row r="35" spans="2:10" x14ac:dyDescent="0.3">
      <c r="B35" s="1" t="s">
        <v>199</v>
      </c>
      <c r="C35" s="1">
        <v>652</v>
      </c>
      <c r="D35" s="1">
        <v>314</v>
      </c>
      <c r="E35" s="1">
        <v>110</v>
      </c>
      <c r="F35" s="1">
        <v>108</v>
      </c>
      <c r="G35" s="1">
        <v>254</v>
      </c>
      <c r="H35" s="1">
        <v>304</v>
      </c>
      <c r="I35" s="1">
        <v>254</v>
      </c>
      <c r="J35" s="1">
        <v>160</v>
      </c>
    </row>
    <row r="36" spans="2:10" x14ac:dyDescent="0.3">
      <c r="B36" s="1" t="s">
        <v>247</v>
      </c>
      <c r="C36" s="1">
        <v>652</v>
      </c>
      <c r="D36" s="1">
        <v>314</v>
      </c>
      <c r="E36" s="1">
        <v>110</v>
      </c>
      <c r="F36" s="1">
        <v>108</v>
      </c>
      <c r="G36" s="1">
        <v>254</v>
      </c>
      <c r="H36" s="1">
        <v>304</v>
      </c>
      <c r="I36" s="1">
        <v>254</v>
      </c>
      <c r="J36" s="1">
        <v>160</v>
      </c>
    </row>
    <row r="37" spans="2:10" x14ac:dyDescent="0.3">
      <c r="B37" s="1" t="s">
        <v>425</v>
      </c>
      <c r="C37" s="1">
        <v>652</v>
      </c>
      <c r="D37" s="1">
        <v>314</v>
      </c>
      <c r="E37" s="1">
        <v>110</v>
      </c>
      <c r="F37" s="1">
        <v>108</v>
      </c>
      <c r="G37" s="1">
        <v>254</v>
      </c>
      <c r="H37" s="1">
        <v>304</v>
      </c>
      <c r="I37" s="1">
        <v>254</v>
      </c>
      <c r="J37" s="1">
        <v>160</v>
      </c>
    </row>
    <row r="38" spans="2:10" x14ac:dyDescent="0.3">
      <c r="B38" s="1" t="s">
        <v>426</v>
      </c>
      <c r="C38" s="1">
        <v>652</v>
      </c>
      <c r="D38" s="1">
        <v>314</v>
      </c>
      <c r="E38" s="1">
        <v>110</v>
      </c>
      <c r="F38" s="1">
        <v>108</v>
      </c>
      <c r="G38" s="1">
        <v>254</v>
      </c>
      <c r="H38" s="1">
        <v>304</v>
      </c>
      <c r="I38" s="1">
        <v>254</v>
      </c>
      <c r="J38" s="1">
        <v>160</v>
      </c>
    </row>
    <row r="39" spans="2:10" x14ac:dyDescent="0.3">
      <c r="B39" s="1" t="s">
        <v>200</v>
      </c>
      <c r="C39" s="1">
        <v>688</v>
      </c>
      <c r="D39" s="1">
        <v>349</v>
      </c>
      <c r="E39" s="1">
        <v>110</v>
      </c>
      <c r="F39" s="1">
        <v>121</v>
      </c>
      <c r="G39" s="1">
        <v>241</v>
      </c>
      <c r="H39" s="1">
        <v>311</v>
      </c>
      <c r="I39" s="1">
        <v>279</v>
      </c>
      <c r="J39" s="1">
        <v>180</v>
      </c>
    </row>
    <row r="40" spans="2:10" x14ac:dyDescent="0.3">
      <c r="B40" s="1" t="s">
        <v>248</v>
      </c>
      <c r="C40" s="1">
        <v>688</v>
      </c>
      <c r="D40" s="1">
        <v>349</v>
      </c>
      <c r="E40" s="1">
        <v>110</v>
      </c>
      <c r="F40" s="1">
        <v>121</v>
      </c>
      <c r="G40" s="1">
        <v>241</v>
      </c>
      <c r="H40" s="1">
        <v>311</v>
      </c>
      <c r="I40" s="1">
        <v>279</v>
      </c>
      <c r="J40" s="1">
        <v>180</v>
      </c>
    </row>
    <row r="41" spans="2:10" x14ac:dyDescent="0.3">
      <c r="B41" s="1" t="s">
        <v>427</v>
      </c>
      <c r="C41" s="1">
        <v>688</v>
      </c>
      <c r="D41" s="1">
        <v>349</v>
      </c>
      <c r="E41" s="1">
        <v>110</v>
      </c>
      <c r="F41" s="1">
        <v>121</v>
      </c>
      <c r="G41" s="1">
        <v>241</v>
      </c>
      <c r="H41" s="1">
        <v>311</v>
      </c>
      <c r="I41" s="1">
        <v>279</v>
      </c>
      <c r="J41" s="1">
        <v>180</v>
      </c>
    </row>
    <row r="42" spans="2:10" x14ac:dyDescent="0.3">
      <c r="B42" s="1" t="s">
        <v>249</v>
      </c>
      <c r="C42" s="1">
        <v>726</v>
      </c>
      <c r="D42" s="1">
        <v>349</v>
      </c>
      <c r="E42" s="1">
        <v>110</v>
      </c>
      <c r="F42" s="1">
        <v>121</v>
      </c>
      <c r="G42" s="1">
        <v>279</v>
      </c>
      <c r="H42" s="1">
        <v>349</v>
      </c>
      <c r="I42" s="1">
        <v>279</v>
      </c>
      <c r="J42" s="1">
        <v>180</v>
      </c>
    </row>
    <row r="43" spans="2:10" x14ac:dyDescent="0.3">
      <c r="B43" s="1" t="s">
        <v>428</v>
      </c>
      <c r="C43" s="1">
        <v>726</v>
      </c>
      <c r="D43" s="1">
        <v>349</v>
      </c>
      <c r="E43" s="1">
        <v>110</v>
      </c>
      <c r="F43" s="1">
        <v>121</v>
      </c>
      <c r="G43" s="1">
        <v>279</v>
      </c>
      <c r="H43" s="1">
        <v>349</v>
      </c>
      <c r="I43" s="1">
        <v>279</v>
      </c>
      <c r="J43" s="1">
        <v>180</v>
      </c>
    </row>
    <row r="44" spans="2:10" x14ac:dyDescent="0.3">
      <c r="B44" s="1" t="s">
        <v>429</v>
      </c>
      <c r="C44" s="1">
        <v>726</v>
      </c>
      <c r="D44" s="1">
        <v>349</v>
      </c>
      <c r="E44" s="1">
        <v>110</v>
      </c>
      <c r="F44" s="1">
        <v>121</v>
      </c>
      <c r="G44" s="1">
        <v>279</v>
      </c>
      <c r="H44" s="1">
        <v>349</v>
      </c>
      <c r="I44" s="1">
        <v>279</v>
      </c>
      <c r="J44" s="1">
        <v>180</v>
      </c>
    </row>
    <row r="45" spans="2:10" x14ac:dyDescent="0.3">
      <c r="B45" s="1" t="s">
        <v>201</v>
      </c>
      <c r="C45" s="1">
        <v>779</v>
      </c>
      <c r="D45" s="1">
        <v>388</v>
      </c>
      <c r="E45" s="1">
        <v>110</v>
      </c>
      <c r="F45" s="1">
        <v>133</v>
      </c>
      <c r="G45" s="1">
        <v>305</v>
      </c>
      <c r="H45" s="1">
        <v>369</v>
      </c>
      <c r="I45" s="1">
        <v>318</v>
      </c>
      <c r="J45" s="1">
        <v>200</v>
      </c>
    </row>
    <row r="46" spans="2:10" x14ac:dyDescent="0.3">
      <c r="B46" s="1" t="s">
        <v>250</v>
      </c>
      <c r="C46" s="1">
        <v>779</v>
      </c>
      <c r="D46" s="1">
        <v>388</v>
      </c>
      <c r="E46" s="1">
        <v>110</v>
      </c>
      <c r="F46" s="1">
        <v>133</v>
      </c>
      <c r="G46" s="1">
        <v>305</v>
      </c>
      <c r="H46" s="1">
        <v>369</v>
      </c>
      <c r="I46" s="1">
        <v>318</v>
      </c>
      <c r="J46" s="1">
        <v>200</v>
      </c>
    </row>
    <row r="47" spans="2:10" x14ac:dyDescent="0.3">
      <c r="B47" s="1" t="s">
        <v>430</v>
      </c>
      <c r="C47" s="1">
        <v>779</v>
      </c>
      <c r="D47" s="1">
        <v>388</v>
      </c>
      <c r="E47" s="1">
        <v>110</v>
      </c>
      <c r="F47" s="1">
        <v>133</v>
      </c>
      <c r="G47" s="1">
        <v>305</v>
      </c>
      <c r="H47" s="1">
        <v>369</v>
      </c>
      <c r="I47" s="1">
        <v>318</v>
      </c>
      <c r="J47" s="1">
        <v>200</v>
      </c>
    </row>
    <row r="48" spans="2:10" x14ac:dyDescent="0.3">
      <c r="B48" s="1" t="s">
        <v>431</v>
      </c>
      <c r="C48" s="1">
        <v>779</v>
      </c>
      <c r="D48" s="1">
        <v>388</v>
      </c>
      <c r="E48" s="1">
        <v>110</v>
      </c>
      <c r="F48" s="1">
        <v>133</v>
      </c>
      <c r="G48" s="1">
        <v>305</v>
      </c>
      <c r="H48" s="1">
        <v>369</v>
      </c>
      <c r="I48" s="1">
        <v>318</v>
      </c>
      <c r="J48" s="1">
        <v>200</v>
      </c>
    </row>
    <row r="49" spans="2:10" x14ac:dyDescent="0.3">
      <c r="B49" s="1" t="s">
        <v>251</v>
      </c>
      <c r="C49" s="1">
        <v>824</v>
      </c>
      <c r="D49" s="1">
        <v>431</v>
      </c>
      <c r="E49" s="1">
        <v>140</v>
      </c>
      <c r="F49" s="1">
        <v>149</v>
      </c>
      <c r="G49" s="1">
        <v>286</v>
      </c>
      <c r="H49" s="1">
        <v>368</v>
      </c>
      <c r="I49" s="1">
        <v>356</v>
      </c>
      <c r="J49" s="1">
        <v>225</v>
      </c>
    </row>
    <row r="50" spans="2:10" x14ac:dyDescent="0.3">
      <c r="B50" s="1" t="s">
        <v>432</v>
      </c>
      <c r="C50" s="1">
        <v>824</v>
      </c>
      <c r="D50" s="1">
        <v>431</v>
      </c>
      <c r="E50" s="1">
        <v>140</v>
      </c>
      <c r="F50" s="1">
        <v>149</v>
      </c>
      <c r="G50" s="1">
        <v>286</v>
      </c>
      <c r="H50" s="1">
        <v>368</v>
      </c>
      <c r="I50" s="1">
        <v>356</v>
      </c>
      <c r="J50" s="1">
        <v>225</v>
      </c>
    </row>
    <row r="51" spans="2:10" x14ac:dyDescent="0.3">
      <c r="B51" s="1" t="s">
        <v>202</v>
      </c>
      <c r="C51" s="1">
        <v>819</v>
      </c>
      <c r="D51" s="1">
        <v>431</v>
      </c>
      <c r="E51" s="1">
        <v>110</v>
      </c>
      <c r="F51" s="1">
        <v>149</v>
      </c>
      <c r="G51" s="1">
        <v>311</v>
      </c>
      <c r="H51" s="1">
        <v>393</v>
      </c>
      <c r="I51" s="1">
        <v>356</v>
      </c>
      <c r="J51" s="1">
        <v>225</v>
      </c>
    </row>
    <row r="52" spans="2:10" x14ac:dyDescent="0.3">
      <c r="B52" s="1" t="s">
        <v>252</v>
      </c>
      <c r="C52" s="1">
        <v>849</v>
      </c>
      <c r="D52" s="1">
        <v>431</v>
      </c>
      <c r="E52" s="1">
        <v>140</v>
      </c>
      <c r="F52" s="1">
        <v>149</v>
      </c>
      <c r="G52" s="1">
        <v>311</v>
      </c>
      <c r="H52" s="1">
        <v>393</v>
      </c>
      <c r="I52" s="1">
        <v>356</v>
      </c>
      <c r="J52" s="1">
        <v>225</v>
      </c>
    </row>
    <row r="53" spans="2:10" x14ac:dyDescent="0.3">
      <c r="B53" s="1" t="s">
        <v>433</v>
      </c>
      <c r="C53" s="1">
        <v>849</v>
      </c>
      <c r="D53" s="1">
        <v>431</v>
      </c>
      <c r="E53" s="1">
        <v>140</v>
      </c>
      <c r="F53" s="1">
        <v>149</v>
      </c>
      <c r="G53" s="1">
        <v>311</v>
      </c>
      <c r="H53" s="1">
        <v>393</v>
      </c>
      <c r="I53" s="1">
        <v>356</v>
      </c>
      <c r="J53" s="1">
        <v>225</v>
      </c>
    </row>
    <row r="54" spans="2:10" x14ac:dyDescent="0.3">
      <c r="B54" s="1" t="s">
        <v>434</v>
      </c>
      <c r="C54" s="1">
        <v>849</v>
      </c>
      <c r="D54" s="1">
        <v>431</v>
      </c>
      <c r="E54" s="1">
        <v>140</v>
      </c>
      <c r="F54" s="1">
        <v>149</v>
      </c>
      <c r="G54" s="1">
        <v>311</v>
      </c>
      <c r="H54" s="1">
        <v>393</v>
      </c>
      <c r="I54" s="1">
        <v>356</v>
      </c>
      <c r="J54" s="1">
        <v>225</v>
      </c>
    </row>
    <row r="55" spans="2:10" x14ac:dyDescent="0.3">
      <c r="B55" s="1" t="s">
        <v>203</v>
      </c>
      <c r="C55" s="1">
        <v>910</v>
      </c>
      <c r="D55" s="1">
        <v>484</v>
      </c>
      <c r="E55" s="1">
        <v>140</v>
      </c>
      <c r="F55" s="1">
        <v>168</v>
      </c>
      <c r="G55" s="1">
        <v>349</v>
      </c>
      <c r="H55" s="1">
        <v>445</v>
      </c>
      <c r="I55" s="1">
        <v>406</v>
      </c>
      <c r="J55" s="1">
        <v>250</v>
      </c>
    </row>
    <row r="56" spans="2:10" x14ac:dyDescent="0.3">
      <c r="B56" s="1" t="s">
        <v>253</v>
      </c>
      <c r="C56" s="1">
        <v>910</v>
      </c>
      <c r="D56" s="1">
        <v>484</v>
      </c>
      <c r="E56" s="1">
        <v>140</v>
      </c>
      <c r="F56" s="1">
        <v>168</v>
      </c>
      <c r="G56" s="1">
        <v>349</v>
      </c>
      <c r="H56" s="1">
        <v>445</v>
      </c>
      <c r="I56" s="1">
        <v>406</v>
      </c>
      <c r="J56" s="1">
        <v>250</v>
      </c>
    </row>
    <row r="57" spans="2:10" x14ac:dyDescent="0.3">
      <c r="B57" s="1" t="s">
        <v>435</v>
      </c>
      <c r="C57" s="1">
        <v>910</v>
      </c>
      <c r="D57" s="1">
        <v>484</v>
      </c>
      <c r="E57" s="1">
        <v>140</v>
      </c>
      <c r="F57" s="1">
        <v>168</v>
      </c>
      <c r="G57" s="1">
        <v>349</v>
      </c>
      <c r="H57" s="1">
        <v>445</v>
      </c>
      <c r="I57" s="1">
        <v>406</v>
      </c>
      <c r="J57" s="1">
        <v>250</v>
      </c>
    </row>
    <row r="58" spans="2:10" x14ac:dyDescent="0.3">
      <c r="B58" s="1" t="s">
        <v>436</v>
      </c>
      <c r="C58" s="1">
        <v>910</v>
      </c>
      <c r="D58" s="1">
        <v>484</v>
      </c>
      <c r="E58" s="1">
        <v>140</v>
      </c>
      <c r="F58" s="1">
        <v>168</v>
      </c>
      <c r="G58" s="1">
        <v>349</v>
      </c>
      <c r="H58" s="1">
        <v>445</v>
      </c>
      <c r="I58" s="1">
        <v>406</v>
      </c>
      <c r="J58" s="1">
        <v>250</v>
      </c>
    </row>
    <row r="59" spans="2:10" x14ac:dyDescent="0.3">
      <c r="B59" s="1" t="s">
        <v>204</v>
      </c>
      <c r="C59" s="1">
        <v>982</v>
      </c>
      <c r="D59" s="1">
        <v>542</v>
      </c>
      <c r="E59" s="1">
        <v>140</v>
      </c>
      <c r="F59" s="1">
        <v>190</v>
      </c>
      <c r="G59" s="1">
        <v>368</v>
      </c>
      <c r="H59" s="1">
        <v>485</v>
      </c>
      <c r="I59" s="1">
        <v>457</v>
      </c>
      <c r="J59" s="1">
        <v>280</v>
      </c>
    </row>
    <row r="60" spans="2:10" x14ac:dyDescent="0.3">
      <c r="B60" s="1" t="s">
        <v>254</v>
      </c>
      <c r="C60" s="1">
        <v>982</v>
      </c>
      <c r="D60" s="1">
        <v>542</v>
      </c>
      <c r="E60" s="1">
        <v>140</v>
      </c>
      <c r="F60" s="1">
        <v>190</v>
      </c>
      <c r="G60" s="1">
        <v>368</v>
      </c>
      <c r="H60" s="1">
        <v>485</v>
      </c>
      <c r="I60" s="1">
        <v>457</v>
      </c>
      <c r="J60" s="1">
        <v>280</v>
      </c>
    </row>
    <row r="61" spans="2:10" x14ac:dyDescent="0.3">
      <c r="B61" s="1" t="s">
        <v>437</v>
      </c>
      <c r="C61" s="1">
        <v>982</v>
      </c>
      <c r="D61" s="1">
        <v>542</v>
      </c>
      <c r="E61" s="1">
        <v>140</v>
      </c>
      <c r="F61" s="1">
        <v>190</v>
      </c>
      <c r="G61" s="1">
        <v>368</v>
      </c>
      <c r="H61" s="1">
        <v>485</v>
      </c>
      <c r="I61" s="1">
        <v>457</v>
      </c>
      <c r="J61" s="1">
        <v>280</v>
      </c>
    </row>
    <row r="62" spans="2:10" x14ac:dyDescent="0.3">
      <c r="B62" s="1" t="s">
        <v>438</v>
      </c>
      <c r="C62" s="1">
        <v>982</v>
      </c>
      <c r="D62" s="1">
        <v>542</v>
      </c>
      <c r="E62" s="1">
        <v>140</v>
      </c>
      <c r="F62" s="1">
        <v>190</v>
      </c>
      <c r="G62" s="1">
        <v>368</v>
      </c>
      <c r="H62" s="1">
        <v>485</v>
      </c>
      <c r="I62" s="1">
        <v>457</v>
      </c>
      <c r="J62" s="1">
        <v>280</v>
      </c>
    </row>
    <row r="63" spans="2:10" x14ac:dyDescent="0.3">
      <c r="B63" s="1" t="s">
        <v>205</v>
      </c>
      <c r="C63" s="1">
        <v>1033</v>
      </c>
      <c r="D63" s="1">
        <v>542</v>
      </c>
      <c r="E63" s="1">
        <v>140</v>
      </c>
      <c r="F63" s="1">
        <v>190</v>
      </c>
      <c r="G63" s="1">
        <v>419</v>
      </c>
      <c r="H63" s="1">
        <v>536</v>
      </c>
      <c r="I63" s="1">
        <v>457</v>
      </c>
      <c r="J63" s="1">
        <v>280</v>
      </c>
    </row>
    <row r="64" spans="2:10" x14ac:dyDescent="0.3">
      <c r="B64" s="1" t="s">
        <v>255</v>
      </c>
      <c r="C64" s="1">
        <v>1033</v>
      </c>
      <c r="D64" s="1">
        <v>542</v>
      </c>
      <c r="E64" s="1">
        <v>140</v>
      </c>
      <c r="F64" s="1">
        <v>190</v>
      </c>
      <c r="G64" s="1">
        <v>419</v>
      </c>
      <c r="H64" s="1">
        <v>536</v>
      </c>
      <c r="I64" s="1">
        <v>457</v>
      </c>
      <c r="J64" s="1">
        <v>280</v>
      </c>
    </row>
    <row r="65" spans="2:10" x14ac:dyDescent="0.3">
      <c r="B65" s="1" t="s">
        <v>439</v>
      </c>
      <c r="C65" s="1">
        <v>1033</v>
      </c>
      <c r="D65" s="1">
        <v>542</v>
      </c>
      <c r="E65" s="1">
        <v>140</v>
      </c>
      <c r="F65" s="1">
        <v>190</v>
      </c>
      <c r="G65" s="1">
        <v>419</v>
      </c>
      <c r="H65" s="1">
        <v>536</v>
      </c>
      <c r="I65" s="1">
        <v>457</v>
      </c>
      <c r="J65" s="1">
        <v>280</v>
      </c>
    </row>
    <row r="66" spans="2:10" x14ac:dyDescent="0.3">
      <c r="B66" s="1" t="s">
        <v>440</v>
      </c>
      <c r="C66" s="1">
        <v>1033</v>
      </c>
      <c r="D66" s="1">
        <v>542</v>
      </c>
      <c r="E66" s="1">
        <v>140</v>
      </c>
      <c r="F66" s="1">
        <v>190</v>
      </c>
      <c r="G66" s="1">
        <v>419</v>
      </c>
      <c r="H66" s="1">
        <v>536</v>
      </c>
      <c r="I66" s="1">
        <v>457</v>
      </c>
      <c r="J66" s="1">
        <v>280</v>
      </c>
    </row>
    <row r="67" spans="2:10" x14ac:dyDescent="0.3">
      <c r="B67" s="1" t="s">
        <v>206</v>
      </c>
      <c r="C67" s="1">
        <v>1194</v>
      </c>
      <c r="D67" s="1">
        <v>628</v>
      </c>
      <c r="E67" s="1">
        <v>140</v>
      </c>
      <c r="F67" s="1">
        <v>216</v>
      </c>
      <c r="G67" s="1">
        <v>406</v>
      </c>
      <c r="H67" s="1">
        <v>570</v>
      </c>
      <c r="I67" s="1">
        <v>508</v>
      </c>
      <c r="J67" s="1">
        <v>315</v>
      </c>
    </row>
    <row r="68" spans="2:10" x14ac:dyDescent="0.3">
      <c r="B68" s="1" t="s">
        <v>256</v>
      </c>
      <c r="C68" s="1">
        <v>1224</v>
      </c>
      <c r="D68" s="1">
        <v>628</v>
      </c>
      <c r="E68" s="1">
        <v>170</v>
      </c>
      <c r="F68" s="1">
        <v>216</v>
      </c>
      <c r="G68" s="1">
        <v>406</v>
      </c>
      <c r="H68" s="1">
        <v>570</v>
      </c>
      <c r="I68" s="1">
        <v>508</v>
      </c>
      <c r="J68" s="1">
        <v>315</v>
      </c>
    </row>
    <row r="69" spans="2:10" x14ac:dyDescent="0.3">
      <c r="B69" s="1" t="s">
        <v>441</v>
      </c>
      <c r="C69" s="1">
        <v>1224</v>
      </c>
      <c r="D69" s="1">
        <v>628</v>
      </c>
      <c r="E69" s="1">
        <v>170</v>
      </c>
      <c r="F69" s="1">
        <v>216</v>
      </c>
      <c r="G69" s="1">
        <v>406</v>
      </c>
      <c r="H69" s="1">
        <v>570</v>
      </c>
      <c r="I69" s="1">
        <v>508</v>
      </c>
      <c r="J69" s="1">
        <v>315</v>
      </c>
    </row>
    <row r="70" spans="2:10" x14ac:dyDescent="0.3">
      <c r="B70" s="1" t="s">
        <v>442</v>
      </c>
      <c r="C70" s="1">
        <v>1224</v>
      </c>
      <c r="D70" s="1">
        <v>628</v>
      </c>
      <c r="E70" s="1">
        <v>170</v>
      </c>
      <c r="F70" s="1">
        <v>216</v>
      </c>
      <c r="G70" s="1">
        <v>406</v>
      </c>
      <c r="H70" s="1">
        <v>570</v>
      </c>
      <c r="I70" s="1">
        <v>508</v>
      </c>
      <c r="J70" s="1">
        <v>315</v>
      </c>
    </row>
    <row r="71" spans="2:10" x14ac:dyDescent="0.3">
      <c r="B71" s="1" t="s">
        <v>443</v>
      </c>
      <c r="C71" s="1">
        <v>1224</v>
      </c>
      <c r="D71" s="1">
        <v>628</v>
      </c>
      <c r="E71" s="1">
        <v>170</v>
      </c>
      <c r="F71" s="1">
        <v>216</v>
      </c>
      <c r="G71" s="1">
        <v>406</v>
      </c>
      <c r="H71" s="1">
        <v>570</v>
      </c>
      <c r="I71" s="1">
        <v>508</v>
      </c>
      <c r="J71" s="1">
        <v>315</v>
      </c>
    </row>
    <row r="72" spans="2:10" x14ac:dyDescent="0.3">
      <c r="B72" s="1" t="s">
        <v>207</v>
      </c>
      <c r="C72" s="1">
        <v>1304</v>
      </c>
      <c r="D72" s="1">
        <v>628</v>
      </c>
      <c r="E72" s="1">
        <v>140</v>
      </c>
      <c r="F72" s="1">
        <v>216</v>
      </c>
      <c r="G72" s="1">
        <v>457</v>
      </c>
      <c r="H72" s="1">
        <v>680</v>
      </c>
      <c r="I72" s="1">
        <v>508</v>
      </c>
      <c r="J72" s="1">
        <v>315</v>
      </c>
    </row>
    <row r="73" spans="2:10" x14ac:dyDescent="0.3">
      <c r="B73" s="1" t="s">
        <v>257</v>
      </c>
      <c r="C73" s="1">
        <v>1334</v>
      </c>
      <c r="D73" s="1">
        <v>628</v>
      </c>
      <c r="E73" s="1">
        <v>170</v>
      </c>
      <c r="F73" s="1">
        <v>216</v>
      </c>
      <c r="G73" s="1">
        <v>457</v>
      </c>
      <c r="H73" s="1">
        <v>680</v>
      </c>
      <c r="I73" s="1">
        <v>508</v>
      </c>
      <c r="J73" s="1">
        <v>315</v>
      </c>
    </row>
    <row r="74" spans="2:10" x14ac:dyDescent="0.3">
      <c r="B74" s="1" t="s">
        <v>444</v>
      </c>
      <c r="C74" s="1">
        <v>1334</v>
      </c>
      <c r="D74" s="1">
        <v>628</v>
      </c>
      <c r="E74" s="1">
        <v>170</v>
      </c>
      <c r="F74" s="1">
        <v>216</v>
      </c>
      <c r="G74" s="1">
        <v>457</v>
      </c>
      <c r="H74" s="1">
        <v>680</v>
      </c>
      <c r="I74" s="1">
        <v>508</v>
      </c>
      <c r="J74" s="1">
        <v>315</v>
      </c>
    </row>
    <row r="75" spans="2:10" x14ac:dyDescent="0.3">
      <c r="B75" s="1" t="s">
        <v>445</v>
      </c>
      <c r="C75" s="1">
        <v>1334</v>
      </c>
      <c r="D75" s="1">
        <v>628</v>
      </c>
      <c r="E75" s="1">
        <v>170</v>
      </c>
      <c r="F75" s="1">
        <v>216</v>
      </c>
      <c r="G75" s="1">
        <v>457</v>
      </c>
      <c r="H75" s="1">
        <v>680</v>
      </c>
      <c r="I75" s="1">
        <v>508</v>
      </c>
      <c r="J75" s="1">
        <v>315</v>
      </c>
    </row>
    <row r="76" spans="2:10" x14ac:dyDescent="0.3">
      <c r="B76" s="1" t="s">
        <v>446</v>
      </c>
      <c r="C76" s="1">
        <v>1334</v>
      </c>
      <c r="D76" s="1">
        <v>628</v>
      </c>
      <c r="E76" s="1">
        <v>170</v>
      </c>
      <c r="F76" s="1">
        <v>216</v>
      </c>
      <c r="G76" s="1">
        <v>457</v>
      </c>
      <c r="H76" s="1">
        <v>680</v>
      </c>
      <c r="I76" s="1">
        <v>508</v>
      </c>
      <c r="J76" s="1">
        <v>315</v>
      </c>
    </row>
    <row r="77" spans="2:10" x14ac:dyDescent="0.3">
      <c r="B77" s="1" t="s">
        <v>208</v>
      </c>
      <c r="C77" s="1">
        <v>1304</v>
      </c>
      <c r="D77" s="1">
        <v>628</v>
      </c>
      <c r="E77" s="1">
        <v>140</v>
      </c>
      <c r="F77" s="1">
        <v>216</v>
      </c>
      <c r="G77" s="1">
        <v>508</v>
      </c>
      <c r="H77" s="1">
        <v>680</v>
      </c>
      <c r="I77" s="1">
        <v>508</v>
      </c>
      <c r="J77" s="1">
        <v>315</v>
      </c>
    </row>
    <row r="78" spans="2:10" x14ac:dyDescent="0.3">
      <c r="B78" s="1" t="s">
        <v>258</v>
      </c>
      <c r="C78" s="1">
        <v>1334</v>
      </c>
      <c r="D78" s="1">
        <v>628</v>
      </c>
      <c r="E78" s="1">
        <v>170</v>
      </c>
      <c r="F78" s="1">
        <v>216</v>
      </c>
      <c r="G78" s="1">
        <v>508</v>
      </c>
      <c r="H78" s="1">
        <v>680</v>
      </c>
      <c r="I78" s="1">
        <v>508</v>
      </c>
      <c r="J78" s="1">
        <v>315</v>
      </c>
    </row>
    <row r="79" spans="2:10" x14ac:dyDescent="0.3">
      <c r="B79" s="1" t="s">
        <v>447</v>
      </c>
      <c r="C79" s="1">
        <v>1334</v>
      </c>
      <c r="D79" s="1">
        <v>628</v>
      </c>
      <c r="E79" s="1">
        <v>170</v>
      </c>
      <c r="F79" s="1">
        <v>216</v>
      </c>
      <c r="G79" s="1">
        <v>508</v>
      </c>
      <c r="H79" s="1">
        <v>680</v>
      </c>
      <c r="I79" s="1">
        <v>508</v>
      </c>
      <c r="J79" s="1">
        <v>315</v>
      </c>
    </row>
    <row r="80" spans="2:10" x14ac:dyDescent="0.3">
      <c r="B80" s="1" t="s">
        <v>448</v>
      </c>
      <c r="C80" s="1">
        <v>1334</v>
      </c>
      <c r="D80" s="1">
        <v>628</v>
      </c>
      <c r="E80" s="1">
        <v>170</v>
      </c>
      <c r="F80" s="1">
        <v>216</v>
      </c>
      <c r="G80" s="1">
        <v>508</v>
      </c>
      <c r="H80" s="1">
        <v>680</v>
      </c>
      <c r="I80" s="1">
        <v>508</v>
      </c>
      <c r="J80" s="1">
        <v>315</v>
      </c>
    </row>
    <row r="81" spans="2:10" x14ac:dyDescent="0.3">
      <c r="B81" s="1" t="s">
        <v>449</v>
      </c>
      <c r="C81" s="1">
        <v>1334</v>
      </c>
      <c r="D81" s="1">
        <v>628</v>
      </c>
      <c r="E81" s="1">
        <v>170</v>
      </c>
      <c r="F81" s="1">
        <v>216</v>
      </c>
      <c r="G81" s="1">
        <v>508</v>
      </c>
      <c r="H81" s="1">
        <v>680</v>
      </c>
      <c r="I81" s="1">
        <v>508</v>
      </c>
      <c r="J81" s="1">
        <v>315</v>
      </c>
    </row>
    <row r="82" spans="2:10" x14ac:dyDescent="0.3">
      <c r="B82" s="1" t="s">
        <v>209</v>
      </c>
      <c r="C82" s="1">
        <v>1486</v>
      </c>
      <c r="D82" s="1">
        <v>726</v>
      </c>
      <c r="E82" s="1">
        <v>140</v>
      </c>
      <c r="F82" s="1">
        <v>254</v>
      </c>
      <c r="G82" s="1">
        <v>560</v>
      </c>
      <c r="H82" s="1">
        <v>750</v>
      </c>
      <c r="I82" s="1">
        <v>610</v>
      </c>
      <c r="J82" s="1">
        <v>355</v>
      </c>
    </row>
    <row r="83" spans="2:10" x14ac:dyDescent="0.3">
      <c r="B83" s="1" t="s">
        <v>259</v>
      </c>
      <c r="C83" s="1">
        <v>1516</v>
      </c>
      <c r="D83" s="1">
        <v>726</v>
      </c>
      <c r="E83" s="1">
        <v>170</v>
      </c>
      <c r="F83" s="1">
        <v>254</v>
      </c>
      <c r="G83" s="1">
        <v>560</v>
      </c>
      <c r="H83" s="1">
        <v>750</v>
      </c>
      <c r="I83" s="1">
        <v>610</v>
      </c>
      <c r="J83" s="1">
        <v>355</v>
      </c>
    </row>
    <row r="84" spans="2:10" x14ac:dyDescent="0.3">
      <c r="B84" s="1" t="s">
        <v>450</v>
      </c>
      <c r="C84" s="1">
        <v>1516</v>
      </c>
      <c r="D84" s="1">
        <v>726</v>
      </c>
      <c r="E84" s="1">
        <v>170</v>
      </c>
      <c r="F84" s="1">
        <v>254</v>
      </c>
      <c r="G84" s="1">
        <v>560</v>
      </c>
      <c r="H84" s="1">
        <v>750</v>
      </c>
      <c r="I84" s="1">
        <v>610</v>
      </c>
      <c r="J84" s="1">
        <v>355</v>
      </c>
    </row>
    <row r="85" spans="2:10" x14ac:dyDescent="0.3">
      <c r="B85" s="1" t="s">
        <v>451</v>
      </c>
      <c r="C85" s="1">
        <v>1516</v>
      </c>
      <c r="D85" s="1">
        <v>726</v>
      </c>
      <c r="E85" s="1">
        <v>170</v>
      </c>
      <c r="F85" s="1">
        <v>254</v>
      </c>
      <c r="G85" s="1">
        <v>560</v>
      </c>
      <c r="H85" s="1">
        <v>750</v>
      </c>
      <c r="I85" s="1">
        <v>610</v>
      </c>
      <c r="J85" s="1">
        <v>355</v>
      </c>
    </row>
    <row r="86" spans="2:10" x14ac:dyDescent="0.3">
      <c r="B86" s="1" t="s">
        <v>452</v>
      </c>
      <c r="C86" s="1">
        <v>1516</v>
      </c>
      <c r="D86" s="1">
        <v>726</v>
      </c>
      <c r="E86" s="1">
        <v>170</v>
      </c>
      <c r="F86" s="1">
        <v>254</v>
      </c>
      <c r="G86" s="1">
        <v>560</v>
      </c>
      <c r="H86" s="1">
        <v>750</v>
      </c>
      <c r="I86" s="1">
        <v>610</v>
      </c>
      <c r="J86" s="1">
        <v>355</v>
      </c>
    </row>
    <row r="87" spans="2:10" x14ac:dyDescent="0.3">
      <c r="B87" s="1" t="s">
        <v>210</v>
      </c>
      <c r="C87" s="1">
        <v>1486</v>
      </c>
      <c r="D87" s="1">
        <v>726</v>
      </c>
      <c r="E87" s="1">
        <v>140</v>
      </c>
      <c r="F87" s="1">
        <v>254</v>
      </c>
      <c r="G87" s="1">
        <v>630</v>
      </c>
      <c r="H87" s="1">
        <v>750</v>
      </c>
      <c r="I87" s="1">
        <v>610</v>
      </c>
      <c r="J87" s="1">
        <v>355</v>
      </c>
    </row>
    <row r="88" spans="2:10" x14ac:dyDescent="0.3">
      <c r="B88" s="1" t="s">
        <v>260</v>
      </c>
      <c r="C88" s="1">
        <v>1516</v>
      </c>
      <c r="D88" s="1">
        <v>726</v>
      </c>
      <c r="E88" s="1">
        <v>170</v>
      </c>
      <c r="F88" s="1">
        <v>254</v>
      </c>
      <c r="G88" s="1">
        <v>630</v>
      </c>
      <c r="H88" s="1">
        <v>750</v>
      </c>
      <c r="I88" s="1">
        <v>610</v>
      </c>
      <c r="J88" s="1">
        <v>355</v>
      </c>
    </row>
    <row r="89" spans="2:10" x14ac:dyDescent="0.3">
      <c r="B89" s="1" t="s">
        <v>453</v>
      </c>
      <c r="C89" s="1">
        <v>1516</v>
      </c>
      <c r="D89" s="1">
        <v>726</v>
      </c>
      <c r="E89" s="1">
        <v>170</v>
      </c>
      <c r="F89" s="1">
        <v>254</v>
      </c>
      <c r="G89" s="1">
        <v>630</v>
      </c>
      <c r="H89" s="1">
        <v>750</v>
      </c>
      <c r="I89" s="1">
        <v>610</v>
      </c>
      <c r="J89" s="1">
        <v>355</v>
      </c>
    </row>
    <row r="90" spans="2:10" x14ac:dyDescent="0.3">
      <c r="B90" s="1" t="s">
        <v>454</v>
      </c>
      <c r="C90" s="1">
        <v>1516</v>
      </c>
      <c r="D90" s="1">
        <v>726</v>
      </c>
      <c r="E90" s="1">
        <v>170</v>
      </c>
      <c r="F90" s="1">
        <v>254</v>
      </c>
      <c r="G90" s="1">
        <v>630</v>
      </c>
      <c r="H90" s="1">
        <v>750</v>
      </c>
      <c r="I90" s="1">
        <v>610</v>
      </c>
      <c r="J90" s="1">
        <v>355</v>
      </c>
    </row>
    <row r="91" spans="2:10" x14ac:dyDescent="0.3">
      <c r="B91" s="1" t="s">
        <v>455</v>
      </c>
      <c r="C91" s="1">
        <v>1516</v>
      </c>
      <c r="D91" s="1">
        <v>726</v>
      </c>
      <c r="E91" s="1">
        <v>170</v>
      </c>
      <c r="F91" s="1">
        <v>254</v>
      </c>
      <c r="G91" s="1">
        <v>630</v>
      </c>
      <c r="H91" s="1">
        <v>750</v>
      </c>
      <c r="I91" s="1">
        <v>610</v>
      </c>
      <c r="J91" s="1">
        <v>355</v>
      </c>
    </row>
    <row r="92" spans="2:10" x14ac:dyDescent="0.3">
      <c r="B92" s="1" t="s">
        <v>456</v>
      </c>
      <c r="C92" s="1">
        <v>1820</v>
      </c>
      <c r="D92" s="1">
        <v>806</v>
      </c>
      <c r="E92" s="1">
        <v>170</v>
      </c>
      <c r="F92" s="1">
        <v>280</v>
      </c>
      <c r="G92" s="1">
        <v>630</v>
      </c>
      <c r="H92" s="1">
        <v>1090</v>
      </c>
      <c r="I92" s="1">
        <v>686</v>
      </c>
      <c r="J92" s="1">
        <v>400</v>
      </c>
    </row>
    <row r="93" spans="2:10" x14ac:dyDescent="0.3">
      <c r="B93" s="1" t="s">
        <v>457</v>
      </c>
      <c r="C93" s="1">
        <v>1881</v>
      </c>
      <c r="D93" s="1">
        <v>806</v>
      </c>
      <c r="E93" s="1">
        <v>210</v>
      </c>
      <c r="F93" s="1">
        <v>280</v>
      </c>
      <c r="G93" s="1">
        <v>630</v>
      </c>
      <c r="H93" s="1">
        <v>1090</v>
      </c>
      <c r="I93" s="1">
        <v>686</v>
      </c>
      <c r="J93" s="1">
        <v>400</v>
      </c>
    </row>
    <row r="94" spans="2:10" x14ac:dyDescent="0.3">
      <c r="B94" s="1" t="s">
        <v>458</v>
      </c>
      <c r="C94" s="1">
        <v>1881</v>
      </c>
      <c r="D94" s="1">
        <v>806</v>
      </c>
      <c r="E94" s="1">
        <v>210</v>
      </c>
      <c r="F94" s="1">
        <v>280</v>
      </c>
      <c r="G94" s="1">
        <v>630</v>
      </c>
      <c r="H94" s="1">
        <v>1090</v>
      </c>
      <c r="I94" s="1">
        <v>686</v>
      </c>
      <c r="J94" s="1">
        <v>400</v>
      </c>
    </row>
    <row r="95" spans="2:10" x14ac:dyDescent="0.3">
      <c r="B95" s="1" t="s">
        <v>459</v>
      </c>
      <c r="C95" s="1">
        <v>1881</v>
      </c>
      <c r="D95" s="1">
        <v>806</v>
      </c>
      <c r="E95" s="1">
        <v>210</v>
      </c>
      <c r="F95" s="1">
        <v>280</v>
      </c>
      <c r="G95" s="1">
        <v>630</v>
      </c>
      <c r="H95" s="1">
        <v>1090</v>
      </c>
      <c r="I95" s="1">
        <v>686</v>
      </c>
      <c r="J95" s="1">
        <v>400</v>
      </c>
    </row>
    <row r="96" spans="2:10" x14ac:dyDescent="0.3">
      <c r="B96" s="1" t="s">
        <v>460</v>
      </c>
      <c r="C96" s="1">
        <v>1881</v>
      </c>
      <c r="D96" s="1">
        <v>806</v>
      </c>
      <c r="E96" s="1">
        <v>210</v>
      </c>
      <c r="F96" s="1">
        <v>280</v>
      </c>
      <c r="G96" s="1">
        <v>630</v>
      </c>
      <c r="H96" s="1">
        <v>1090</v>
      </c>
      <c r="I96" s="1">
        <v>686</v>
      </c>
      <c r="J96" s="1">
        <v>400</v>
      </c>
    </row>
    <row r="97" spans="2:10" x14ac:dyDescent="0.3">
      <c r="B97" s="1" t="s">
        <v>462</v>
      </c>
      <c r="C97" s="1">
        <v>1820</v>
      </c>
      <c r="D97" s="1">
        <v>806</v>
      </c>
      <c r="E97" s="1">
        <v>170</v>
      </c>
      <c r="F97" s="1">
        <v>280</v>
      </c>
      <c r="G97" s="1">
        <v>710</v>
      </c>
      <c r="H97" s="1">
        <v>1090</v>
      </c>
      <c r="I97" s="1">
        <v>686</v>
      </c>
      <c r="J97" s="1">
        <v>400</v>
      </c>
    </row>
    <row r="98" spans="2:10" x14ac:dyDescent="0.3">
      <c r="B98" s="1" t="s">
        <v>463</v>
      </c>
      <c r="C98" s="1">
        <v>1881</v>
      </c>
      <c r="D98" s="1">
        <v>806</v>
      </c>
      <c r="E98" s="1">
        <v>210</v>
      </c>
      <c r="F98" s="1">
        <v>280</v>
      </c>
      <c r="G98" s="1">
        <v>710</v>
      </c>
      <c r="H98" s="1">
        <v>1090</v>
      </c>
      <c r="I98" s="1">
        <v>686</v>
      </c>
      <c r="J98" s="1">
        <v>400</v>
      </c>
    </row>
    <row r="99" spans="2:10" x14ac:dyDescent="0.3">
      <c r="B99" s="1" t="s">
        <v>464</v>
      </c>
      <c r="C99" s="1">
        <v>1881</v>
      </c>
      <c r="D99" s="1">
        <v>806</v>
      </c>
      <c r="E99" s="1">
        <v>210</v>
      </c>
      <c r="F99" s="1">
        <v>280</v>
      </c>
      <c r="G99" s="1">
        <v>710</v>
      </c>
      <c r="H99" s="1">
        <v>1090</v>
      </c>
      <c r="I99" s="1">
        <v>686</v>
      </c>
      <c r="J99" s="1">
        <v>400</v>
      </c>
    </row>
    <row r="100" spans="2:10" x14ac:dyDescent="0.3">
      <c r="B100" s="1" t="s">
        <v>465</v>
      </c>
      <c r="C100" s="1">
        <v>1881</v>
      </c>
      <c r="D100" s="1">
        <v>806</v>
      </c>
      <c r="E100" s="1">
        <v>210</v>
      </c>
      <c r="F100" s="1">
        <v>280</v>
      </c>
      <c r="G100" s="1">
        <v>710</v>
      </c>
      <c r="H100" s="1">
        <v>1090</v>
      </c>
      <c r="I100" s="1">
        <v>686</v>
      </c>
      <c r="J100" s="1">
        <v>400</v>
      </c>
    </row>
    <row r="101" spans="2:10" x14ac:dyDescent="0.3">
      <c r="B101" s="1" t="s">
        <v>461</v>
      </c>
      <c r="C101" s="1">
        <v>1881</v>
      </c>
      <c r="D101" s="1">
        <v>806</v>
      </c>
      <c r="E101" s="1">
        <v>210</v>
      </c>
      <c r="F101" s="1">
        <v>280</v>
      </c>
      <c r="G101" s="1">
        <v>710</v>
      </c>
      <c r="H101" s="1">
        <v>1090</v>
      </c>
      <c r="I101" s="1">
        <v>686</v>
      </c>
      <c r="J101" s="1">
        <v>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Motor Pole</vt:lpstr>
      <vt:lpstr>Motor Eff</vt:lpstr>
      <vt:lpstr>HP</vt:lpstr>
      <vt:lpstr>Voltage</vt:lpstr>
      <vt:lpstr>Phase</vt:lpstr>
      <vt:lpstr>Hz</vt:lpstr>
      <vt:lpstr>2Pole IE1</vt:lpstr>
      <vt:lpstr>4Pole IE1</vt:lpstr>
      <vt:lpstr>2Pole IE2</vt:lpstr>
      <vt:lpstr>4Pole IE2</vt:lpstr>
      <vt:lpstr>2Pole IE3</vt:lpstr>
      <vt:lpstr>4Pole IE3</vt:lpstr>
      <vt:lpstr>2Pole IE4</vt:lpstr>
      <vt:lpstr>4Pole IE4</vt:lpstr>
      <vt:lpstr>2Pole IE5</vt:lpstr>
      <vt:lpstr>4Pole IE5</vt:lpstr>
      <vt:lpstr>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2026-07-26T03:26:49Z</dcterms:created>
  <dcterms:modified xsi:type="dcterms:W3CDTF">2026-08-12T15:47:45Z</dcterms:modified>
</cp:coreProperties>
</file>